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tichtingveenweiden.sharepoint.com/sites/themas/Gedeelde documenten/VIPNL Veenweidensloot/D. Data en analyse/analysePlan/"/>
    </mc:Choice>
  </mc:AlternateContent>
  <xr:revisionPtr revIDLastSave="349" documentId="11_19E3828EA6A3216F526D16F661866C1A0CD713A0" xr6:coauthVersionLast="47" xr6:coauthVersionMax="47" xr10:uidLastSave="{AE3FDB1F-A7AC-4204-A2DE-8C5FB0F972D7}"/>
  <bookViews>
    <workbookView xWindow="-96" yWindow="-96" windowWidth="23232" windowHeight="12432" xr2:uid="{00000000-000D-0000-FFFF-FFFF00000000}"/>
  </bookViews>
  <sheets>
    <sheet name="Variabelen irt analyse" sheetId="3" r:id="rId1"/>
    <sheet name="Wat wanneer waar gemeten" sheetId="1" r:id="rId2"/>
    <sheet name="Preprocessing en aggregatie dat" sheetId="4" r:id="rId3"/>
  </sheets>
  <definedNames>
    <definedName name="_xlnm._FilterDatabase" localSheetId="0" hidden="1">'Variabelen irt analyse'!$A$1:$Q$694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3" i="3" l="1"/>
  <c r="I574" i="3"/>
  <c r="I575" i="3"/>
  <c r="I576" i="3"/>
  <c r="I577" i="3"/>
  <c r="I578" i="3"/>
  <c r="I579" i="3"/>
  <c r="I57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tc={6D48D38C-160E-4C79-B6E2-C148E2D053D3}</author>
  </authors>
  <commentList>
    <comment ref="M1" authorId="0" shapeId="0" xr:uid="{00000000-0006-0000-0000-00000100000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Klimaat/ methaanemissies slib
Stevige oevers (draagkracht, geen onderholling/ erosie)
Agrarische gebruikswaarde (draagkracht/ oppervlak)
Biodiversiteit oevers
Ecologische waterkwaliteit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FLORON</author>
    <author>tc={7F8BEB08-49F3-4016-87DD-B49C9A408407}</author>
    <author>tc={5F47E3FF-928E-4FF4-B261-B762A13ECE1F}</author>
  </authors>
  <commentList>
    <comment ref="F1" authorId="0" shapeId="0" xr:uid="{00000000-0006-0000-0100-000001000000}">
      <text>
        <r>
          <rPr>
            <b/>
            <sz val="10"/>
            <color indexed="81"/>
            <rFont val="Tahoma"/>
            <family val="2"/>
          </rPr>
          <t>FLORON:</t>
        </r>
        <r>
          <rPr>
            <sz val="10"/>
            <color indexed="81"/>
            <rFont val="Tahoma"/>
            <family val="2"/>
          </rPr>
          <t xml:space="preserve">
zijn dit ze allemaal?</t>
        </r>
      </text>
    </comment>
    <comment ref="B2" authorId="0" shapeId="0" xr:uid="{00000000-0006-0000-0100-000002000000}">
      <text>
        <r>
          <rPr>
            <b/>
            <sz val="10"/>
            <color indexed="81"/>
            <rFont val="Tahoma"/>
            <family val="2"/>
          </rPr>
          <t>FLORON: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u/>
            <sz val="10"/>
            <color indexed="81"/>
            <rFont val="Tahoma"/>
            <family val="2"/>
          </rPr>
          <t>opties zijn:</t>
        </r>
        <r>
          <rPr>
            <sz val="10"/>
            <color indexed="81"/>
            <rFont val="Tahoma"/>
            <family val="2"/>
          </rPr>
          <t xml:space="preserve">
elk traject
elke sloot
elk gebied
niet gemeten</t>
        </r>
      </text>
    </comment>
    <comment ref="A5" authorId="0" shapeId="0" xr:uid="{00000000-0006-0000-0100-000003000000}">
      <text>
        <r>
          <rPr>
            <b/>
            <sz val="10"/>
            <color indexed="81"/>
            <rFont val="Tahoma"/>
            <family val="2"/>
          </rPr>
          <t>FLORON:</t>
        </r>
        <r>
          <rPr>
            <sz val="10"/>
            <color indexed="81"/>
            <rFont val="Tahoma"/>
            <family val="2"/>
          </rPr>
          <t xml:space="preserve">
nog opsplitsen per datatype, ik weet zo niet wat er in staat (vb breedte zones, etc)</t>
        </r>
      </text>
    </comment>
    <comment ref="A6" authorId="0" shapeId="0" xr:uid="{00000000-0006-0000-0100-000004000000}">
      <text>
        <r>
          <rPr>
            <b/>
            <sz val="10"/>
            <color indexed="81"/>
            <rFont val="Tahoma"/>
            <family val="2"/>
          </rPr>
          <t>FLORON:</t>
        </r>
        <r>
          <rPr>
            <sz val="10"/>
            <color indexed="81"/>
            <rFont val="Tahoma"/>
            <family val="2"/>
          </rPr>
          <t xml:space="preserve">
nog opsplitsen per datatype, ik weet zo niet wat er in staat (vb maaien/peil etc)</t>
        </r>
      </text>
    </comment>
    <comment ref="A7" authorId="0" shapeId="0" xr:uid="{00000000-0006-0000-0100-000005000000}">
      <text>
        <r>
          <rPr>
            <b/>
            <sz val="10"/>
            <color indexed="81"/>
            <rFont val="Tahoma"/>
            <family val="2"/>
          </rPr>
          <t>FLORON:</t>
        </r>
        <r>
          <rPr>
            <sz val="10"/>
            <color indexed="81"/>
            <rFont val="Tahoma"/>
            <family val="2"/>
          </rPr>
          <t xml:space="preserve">
nog opsplitsen per datatype, ik weet zo niet wat er in staat</t>
        </r>
      </text>
    </comment>
    <comment ref="B13" authorId="1" shapeId="0" xr:uid="{00000000-0006-0000-0100-00000600000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Een monster wanneer trajecten aan weerzijde oever liggen</t>
      </text>
    </comment>
    <comment ref="D13" authorId="2" shapeId="0" xr:uid="{00000000-0006-0000-0100-00000700000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Een monster wanneer trajecten aan weerzijde oever liggen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tc={DE473038-8ED4-4F74-9912-29160CDB9DDE}</author>
  </authors>
  <commentList>
    <comment ref="A2" authorId="0" shapeId="0" xr:uid="{00000000-0006-0000-0200-00000100000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Klimaat/ methaanemissies slib
Stevige oevers (draagkracht, geen onderholling/ erosie)
Agrarische gebruikswaarde (draagkracht/ oppervlak)
Biodiversiteit oevers
Ecologische waterkwaliteit</t>
      </text>
    </comment>
  </commentList>
</comments>
</file>

<file path=xl/sharedStrings.xml><?xml version="1.0" encoding="utf-8"?>
<sst xmlns="http://schemas.openxmlformats.org/spreadsheetml/2006/main" count="5788" uniqueCount="1825">
  <si>
    <t>variable</t>
  </si>
  <si>
    <t>monsterdiepte</t>
  </si>
  <si>
    <t>parameter</t>
  </si>
  <si>
    <t>compartiment</t>
  </si>
  <si>
    <t>zone</t>
  </si>
  <si>
    <t>eenheid</t>
  </si>
  <si>
    <t>methode</t>
  </si>
  <si>
    <t>methode berekend/normalisatie</t>
  </si>
  <si>
    <t>varnames</t>
  </si>
  <si>
    <t>Analyse_wortels_erika</t>
  </si>
  <si>
    <t>RDA</t>
  </si>
  <si>
    <t>Xgboost - doelvariabelen VeeST</t>
  </si>
  <si>
    <t>Xgboost - redox en bodemchemie poriewater</t>
  </si>
  <si>
    <t xml:space="preserve">Xgboost - relatie beheer en </t>
  </si>
  <si>
    <t>Fingerprint analyse</t>
  </si>
  <si>
    <t>A_AL_CO_OR_25</t>
  </si>
  <si>
    <t>0-25</t>
  </si>
  <si>
    <t>Aluminium (exch)</t>
  </si>
  <si>
    <t>OR</t>
  </si>
  <si>
    <t>mmol +/ kg</t>
  </si>
  <si>
    <t>liab</t>
  </si>
  <si>
    <t xml:space="preserve">Aluminium (exch) oeverdiepte 0-25 (mmol +/ kg) </t>
  </si>
  <si>
    <t>A_AL_CO_OR_50</t>
  </si>
  <si>
    <t>25-50</t>
  </si>
  <si>
    <t xml:space="preserve">Aluminium (exch) oeverdiepte 25-50 (mmol +/ kg) </t>
  </si>
  <si>
    <t>A_AL_M3_OR_25</t>
  </si>
  <si>
    <t>Aluminium (M3)</t>
  </si>
  <si>
    <t>mg/kg</t>
  </si>
  <si>
    <t xml:space="preserve">Aluminium (M3) oeverdiepte 0-25 (mg/kg) </t>
  </si>
  <si>
    <t>A_AL_M3_OR_50</t>
  </si>
  <si>
    <t xml:space="preserve">Aluminium (M3) oeverdiepte 25-50 (mg/kg) </t>
  </si>
  <si>
    <t>A_AL_RT_OR_25</t>
  </si>
  <si>
    <t>Aluminium total</t>
  </si>
  <si>
    <t>g/kg</t>
  </si>
  <si>
    <t xml:space="preserve">Aluminium total oeverdiepte 0-25 (g/kg) </t>
  </si>
  <si>
    <t>A_AL_RT_OR_50</t>
  </si>
  <si>
    <t xml:space="preserve">Aluminium total oeverdiepte 25-50 (g/kg) </t>
  </si>
  <si>
    <t>A_AS_RT_OR_25</t>
  </si>
  <si>
    <t>Arsenic total</t>
  </si>
  <si>
    <t xml:space="preserve">Arsenic total oeverdiepte 0-25 (mg/kg) </t>
  </si>
  <si>
    <t>A_AS_RT_OR_50</t>
  </si>
  <si>
    <t xml:space="preserve">Arsenic total oeverdiepte 25-50 (mg/kg) </t>
  </si>
  <si>
    <t>A_B_CO_OR_25</t>
  </si>
  <si>
    <t>Boron (Exch)</t>
  </si>
  <si>
    <t>mmol- / kg</t>
  </si>
  <si>
    <t xml:space="preserve">Boron (Exch) oeverdiepte 0-25 (mmol- / kg) </t>
  </si>
  <si>
    <t>A_B_CO_OR_50</t>
  </si>
  <si>
    <t xml:space="preserve">Boron (Exch) oeverdiepte 25-50 (mmol- / kg) </t>
  </si>
  <si>
    <t>A_B_M3_OR_25</t>
  </si>
  <si>
    <t>Boron (M3)</t>
  </si>
  <si>
    <t xml:space="preserve">Boron (M3) oeverdiepte 0-25 (mg/kg) </t>
  </si>
  <si>
    <t>A_B_M3_OR_50</t>
  </si>
  <si>
    <t xml:space="preserve">Boron (M3) oeverdiepte 25-50 (mg/kg) </t>
  </si>
  <si>
    <t>A_BR_RT_OR_25</t>
  </si>
  <si>
    <t>Boron total</t>
  </si>
  <si>
    <t xml:space="preserve">Boron total oeverdiepte 0-25 (mg/kg) </t>
  </si>
  <si>
    <t>A_BR_RT_OR_50</t>
  </si>
  <si>
    <t xml:space="preserve">Boron total oeverdiepte 25-50 (mg/kg) </t>
  </si>
  <si>
    <t>A_C_OF_OR_25</t>
  </si>
  <si>
    <t>Carbon organic</t>
  </si>
  <si>
    <t xml:space="preserve">Carbon organic oeverdiepte 0-25 (g/kg) </t>
  </si>
  <si>
    <t>A_C_OF_OR_50</t>
  </si>
  <si>
    <t xml:space="preserve">Carbon organic oeverdiepte 25-50 (g/kg) </t>
  </si>
  <si>
    <t>A_C_RT_OR_25</t>
  </si>
  <si>
    <t>Carbon total  g / kg</t>
  </si>
  <si>
    <t xml:space="preserve">Carbon total  g / kg oeverdiepte 0-25 (g/kg) </t>
  </si>
  <si>
    <t>A_C_RT_OR_50</t>
  </si>
  <si>
    <t xml:space="preserve">Carbon total  g / kg oeverdiepte 25-50 (g/kg) </t>
  </si>
  <si>
    <t>A_CA_CO_OR_25</t>
  </si>
  <si>
    <t>Calcium (Exch)</t>
  </si>
  <si>
    <t xml:space="preserve">Calcium (Exch) oeverdiepte 0-25 (mmol +/ kg) </t>
  </si>
  <si>
    <t>A_CA_CO_OR_50</t>
  </si>
  <si>
    <t xml:space="preserve">Calcium (Exch) oeverdiepte 25-50 (mmol +/ kg) </t>
  </si>
  <si>
    <t>A_CA_M3_OR_25</t>
  </si>
  <si>
    <t>Calcium (M3)</t>
  </si>
  <si>
    <t xml:space="preserve">Calcium (M3) oeverdiepte 0-25 (mg/kg) </t>
  </si>
  <si>
    <t>A_CA_M3_OR_50</t>
  </si>
  <si>
    <t xml:space="preserve">Calcium (M3) oeverdiepte 25-50 (mg/kg) </t>
  </si>
  <si>
    <t>A_CA_RT_OR_25</t>
  </si>
  <si>
    <t>Calcium total</t>
  </si>
  <si>
    <t xml:space="preserve">Calcium total oeverdiepte 0-25 (g/kg) </t>
  </si>
  <si>
    <t>A_CA_RT_OR_50</t>
  </si>
  <si>
    <t xml:space="preserve">Calcium total oeverdiepte 25-50 (g/kg) </t>
  </si>
  <si>
    <t>A_CEC_CO_OR_25</t>
  </si>
  <si>
    <t>Cation Exhange Capacity</t>
  </si>
  <si>
    <t>mmol+ / kg</t>
  </si>
  <si>
    <t xml:space="preserve">Cation Exhange Capacity oeverdiepte 0-25 (mmol+ / kg) </t>
  </si>
  <si>
    <t>A_CEC_CO_OR_50</t>
  </si>
  <si>
    <t xml:space="preserve">Cation Exhange Capacity oeverdiepte 25-50 (mmol+ / kg) </t>
  </si>
  <si>
    <t>A_CLAY_MI</t>
  </si>
  <si>
    <t>0-15</t>
  </si>
  <si>
    <t>%</t>
  </si>
  <si>
    <t>bodemschat</t>
  </si>
  <si>
    <t>kleigehalte (bodemschat)</t>
  </si>
  <si>
    <t>A_CN_OF_OR_25</t>
  </si>
  <si>
    <t>ratio C / N</t>
  </si>
  <si>
    <t xml:space="preserve">ratio C / N oeverdiepte 0-25 () </t>
  </si>
  <si>
    <t>A_CN_OF_OR_50</t>
  </si>
  <si>
    <t xml:space="preserve">ratio C / N oeverdiepte 25-50 () </t>
  </si>
  <si>
    <t>A_CO_M3_OR_25</t>
  </si>
  <si>
    <t>Cobalt (M3)</t>
  </si>
  <si>
    <t xml:space="preserve">Cobalt (M3) oeverdiepte 0-25 (mg/kg) </t>
  </si>
  <si>
    <t>A_CO_M3_OR_50</t>
  </si>
  <si>
    <t xml:space="preserve">Cobalt (M3) oeverdiepte 25-50 (mg/kg) </t>
  </si>
  <si>
    <t>A_CO_RT_OR_25</t>
  </si>
  <si>
    <t>Cobalt</t>
  </si>
  <si>
    <t xml:space="preserve">Cobalt oeverdiepte 0-25 (mg/kg) </t>
  </si>
  <si>
    <t>A_CO_RT_OR_50</t>
  </si>
  <si>
    <t xml:space="preserve">Cobalt oeverdiepte 25-50 (mg/kg) </t>
  </si>
  <si>
    <t>A_CR_RT_OR_25</t>
  </si>
  <si>
    <t>Chromium Total</t>
  </si>
  <si>
    <t xml:space="preserve">Chromium Total oeverdiepte 0-25 (mg/kg) </t>
  </si>
  <si>
    <t>A_CR_RT_OR_50</t>
  </si>
  <si>
    <t xml:space="preserve">Chromium Total oeverdiepte 25-50 (mg/kg) </t>
  </si>
  <si>
    <t>A_CU_M3_OR_25</t>
  </si>
  <si>
    <t>Copper (M3)</t>
  </si>
  <si>
    <t xml:space="preserve">Copper (M3) oeverdiepte 0-25 (mg/kg) </t>
  </si>
  <si>
    <t>A_CU_M3_OR_50</t>
  </si>
  <si>
    <t xml:space="preserve">Copper (M3) oeverdiepte 25-50 (mg/kg) </t>
  </si>
  <si>
    <t>A_CU_RT_OR_25</t>
  </si>
  <si>
    <t>Copper Total</t>
  </si>
  <si>
    <t xml:space="preserve">Copper Total oeverdiepte 0-25 (mg/kg) </t>
  </si>
  <si>
    <t>A_CU_RT_OR_50</t>
  </si>
  <si>
    <t xml:space="preserve">Copper Total oeverdiepte 25-50 (mg/kg) </t>
  </si>
  <si>
    <t>A_DENSITY_SA_OR_25</t>
  </si>
  <si>
    <t>Density</t>
  </si>
  <si>
    <t>g / cm ^ 3</t>
  </si>
  <si>
    <t xml:space="preserve">Density oeverdiepte 0-25 (g/cm3) </t>
  </si>
  <si>
    <t>A_DENSITY_SA_OR_50</t>
  </si>
  <si>
    <t xml:space="preserve">Density oeverdiepte 25-50 (g/cm3) </t>
  </si>
  <si>
    <t>A_EC_WA_OR_25</t>
  </si>
  <si>
    <t>Electrical  conductivity</t>
  </si>
  <si>
    <t>mS/m</t>
  </si>
  <si>
    <t xml:space="preserve">Electrical  conductivity oeverdiepte 0-25 (mS/m) </t>
  </si>
  <si>
    <t>A_EC_WA_OR_50</t>
  </si>
  <si>
    <t xml:space="preserve">Electrical  conductivity oeverdiepte 25-50 (mS/m) </t>
  </si>
  <si>
    <t>A_FE_CO_OR_25</t>
  </si>
  <si>
    <t>Iron (Exch) + mmol / kg</t>
  </si>
  <si>
    <t>mmol +/kg</t>
  </si>
  <si>
    <t xml:space="preserve">Iron (Exch) + mmol / kg oeverdiepte 0-25 (mmol +/kg) </t>
  </si>
  <si>
    <t>A_FE_CO_OR_50</t>
  </si>
  <si>
    <t xml:space="preserve">Iron (Exch) + mmol / kg oeverdiepte 25-50 (mmol +/kg) </t>
  </si>
  <si>
    <t>A_FE_M3_OR_25</t>
  </si>
  <si>
    <t>Iron (M3)</t>
  </si>
  <si>
    <t xml:space="preserve">Iron (M3) oeverdiepte 0-25 (mg/kg) </t>
  </si>
  <si>
    <t>A_FE_M3_OR_50</t>
  </si>
  <si>
    <t xml:space="preserve">Iron (M3) oeverdiepte 25-50 (mg/kg) </t>
  </si>
  <si>
    <t>A_FE_RT_OR_25</t>
  </si>
  <si>
    <t>Iron total</t>
  </si>
  <si>
    <t xml:space="preserve">Iron total oeverdiepte 0-25 (g/kg) </t>
  </si>
  <si>
    <t>A_FE_RT_OR_50</t>
  </si>
  <si>
    <t xml:space="preserve">Iron total oeverdiepte 25-50 (g/kg) </t>
  </si>
  <si>
    <t>A_K_CO_OR_25</t>
  </si>
  <si>
    <t>Potassium (Exch)</t>
  </si>
  <si>
    <t xml:space="preserve">Potassium (Exch) oeverdiepte 0-25 (mmol +/kg) </t>
  </si>
  <si>
    <t>A_K_CO_OR_50</t>
  </si>
  <si>
    <t xml:space="preserve">Potassium (Exch) oeverdiepte 25-50 (mmol +/kg) </t>
  </si>
  <si>
    <t>A_K_M3_OR_25</t>
  </si>
  <si>
    <t>Potassium (M3)</t>
  </si>
  <si>
    <t xml:space="preserve">Potassium (M3) oeverdiepte 0-25 (mg/kg) </t>
  </si>
  <si>
    <t>A_K_M3_OR_50</t>
  </si>
  <si>
    <t xml:space="preserve">Potassium (M3) oeverdiepte 25-50 (mg/kg) </t>
  </si>
  <si>
    <t>A_K_RT_OR_25</t>
  </si>
  <si>
    <t>Potassium total</t>
  </si>
  <si>
    <t xml:space="preserve">Potassium total oeverdiepte 0-25 (g/kg) </t>
  </si>
  <si>
    <t>A_K_RT_OR_50</t>
  </si>
  <si>
    <t xml:space="preserve">Potassium total oeverdiepte 25-50 (g/kg) </t>
  </si>
  <si>
    <t>A_MG_CO_OR_25</t>
  </si>
  <si>
    <t>Magnesium (Exch)</t>
  </si>
  <si>
    <t>mmol+/kg</t>
  </si>
  <si>
    <t xml:space="preserve">Magnesium (Exch) oeverdiepte 0-25 (mmol+/kg) </t>
  </si>
  <si>
    <t>A_MG_CO_OR_50</t>
  </si>
  <si>
    <t xml:space="preserve">Magnesium (Exch) oeverdiepte 25-50 (mmol+/kg) </t>
  </si>
  <si>
    <t>A_MG_M3_OR_25</t>
  </si>
  <si>
    <t>Magnesium (M3)</t>
  </si>
  <si>
    <t xml:space="preserve">Magnesium (M3) oeverdiepte 0-25 (mg/kg) </t>
  </si>
  <si>
    <t>A_MG_M3_OR_50</t>
  </si>
  <si>
    <t xml:space="preserve">Magnesium (M3) oeverdiepte 25-50 (mg/kg) </t>
  </si>
  <si>
    <t>A_MG_RT_OR_25</t>
  </si>
  <si>
    <t>Magnesium Total</t>
  </si>
  <si>
    <t xml:space="preserve">Magnesium Total oeverdiepte 0-25 (g/kg) </t>
  </si>
  <si>
    <t>A_MG_RT_OR_50</t>
  </si>
  <si>
    <t xml:space="preserve">Magnesium Total oeverdiepte 25-50 (g/kg) </t>
  </si>
  <si>
    <t>A_MN_CO_OR_25</t>
  </si>
  <si>
    <t>Manganese (Exch)</t>
  </si>
  <si>
    <t xml:space="preserve">Manganese (Exch) oeverdiepte 0-25 (mmol+/kg) </t>
  </si>
  <si>
    <t>A_MN_CO_OR_50</t>
  </si>
  <si>
    <t xml:space="preserve">Manganese (Exch) oeverdiepte 25-50 (mmol+/kg) </t>
  </si>
  <si>
    <t>A_MN_M3_OR_25</t>
  </si>
  <si>
    <t>Manganese (M3)</t>
  </si>
  <si>
    <t xml:space="preserve">Manganese (M3) oeverdiepte 0-25 (mg/kg) </t>
  </si>
  <si>
    <t>A_MN_M3_OR_50</t>
  </si>
  <si>
    <t xml:space="preserve">Manganese (M3) oeverdiepte 25-50 (mg/kg) </t>
  </si>
  <si>
    <t>A_MN_RT_OR_25</t>
  </si>
  <si>
    <t>Manganese total</t>
  </si>
  <si>
    <t xml:space="preserve">Manganese total oeverdiepte 0-25 (mg/kg) </t>
  </si>
  <si>
    <t>A_MN_RT_OR_50</t>
  </si>
  <si>
    <t xml:space="preserve">Manganese total oeverdiepte 25-50 (mg/kg) </t>
  </si>
  <si>
    <t>A_MO_CO_OR_25</t>
  </si>
  <si>
    <t>Molybdenium (Exch)</t>
  </si>
  <si>
    <t xml:space="preserve">Molybdenium (Exch) oeverdiepte 0-25 (mmol+/kg) </t>
  </si>
  <si>
    <t>A_MO_CO_OR_50</t>
  </si>
  <si>
    <t xml:space="preserve">Molybdenium (Exch) oeverdiepte 25-50 (mmol+/kg) </t>
  </si>
  <si>
    <t>A_MO_M3_OR_25</t>
  </si>
  <si>
    <t>Molybdenium (M3)</t>
  </si>
  <si>
    <t xml:space="preserve">Molybdenium (M3) oeverdiepte 0-25 (mg/kg) </t>
  </si>
  <si>
    <t>A_MO_M3_OR_50</t>
  </si>
  <si>
    <t xml:space="preserve">Molybdenium (M3) oeverdiepte 25-50 (mg/kg) </t>
  </si>
  <si>
    <t>A_N_RT_OR_25</t>
  </si>
  <si>
    <t>Nitrogen total</t>
  </si>
  <si>
    <t xml:space="preserve">Nitrogen total oeverdiepte 0-25 (g/kg) </t>
  </si>
  <si>
    <t>A_N_RT_OR_50</t>
  </si>
  <si>
    <t xml:space="preserve">Nitrogen total oeverdiepte 25-50 (g/kg) </t>
  </si>
  <si>
    <t>A_NA_CO_OR_25</t>
  </si>
  <si>
    <t>Sodium (Exch)</t>
  </si>
  <si>
    <t xml:space="preserve">Sodium (Exch) oeverdiepte 0-25 (mmol+/kg) </t>
  </si>
  <si>
    <t>A_NA_CO_OR_50</t>
  </si>
  <si>
    <t xml:space="preserve">Sodium (Exch) oeverdiepte 25-50 (mmol+/kg) </t>
  </si>
  <si>
    <t>A_NA_RT_OR_25</t>
  </si>
  <si>
    <t>Sodium total</t>
  </si>
  <si>
    <t xml:space="preserve">Sodium total oeverdiepte 0-25 (g/kg) </t>
  </si>
  <si>
    <t>A_NA_RT_OR_50</t>
  </si>
  <si>
    <t xml:space="preserve">Sodium total oeverdiepte 25-50 (g/kg) </t>
  </si>
  <si>
    <t>A_NB_RT_OR_25</t>
  </si>
  <si>
    <t>Niobium Total</t>
  </si>
  <si>
    <t xml:space="preserve">Niobium Total oeverdiepte 0-25 (mg/kg) </t>
  </si>
  <si>
    <t>A_NB_RT_OR_50</t>
  </si>
  <si>
    <t xml:space="preserve">Niobium Total oeverdiepte 25-50 (mg/kg) </t>
  </si>
  <si>
    <t>A_NI_RT_OR_25</t>
  </si>
  <si>
    <t>Nickel total</t>
  </si>
  <si>
    <t xml:space="preserve">Nickel total oeverdiepte 0-25 (mg/kg) </t>
  </si>
  <si>
    <t>A_NI_RT_OR_50</t>
  </si>
  <si>
    <t xml:space="preserve">Nickel total oeverdiepte 25-50 (mg/kg) </t>
  </si>
  <si>
    <t>A_P_M3_OR_25</t>
  </si>
  <si>
    <t>Phosphorus(M3)</t>
  </si>
  <si>
    <t xml:space="preserve">Phosphorus(M3) oeverdiepte 0-25 (mg/kg) </t>
  </si>
  <si>
    <t>A_P_M3_OR_50</t>
  </si>
  <si>
    <t xml:space="preserve">Phosphorus(M3) oeverdiepte 25-50 (mg/kg) </t>
  </si>
  <si>
    <t>A_P_RT_OR_25</t>
  </si>
  <si>
    <t>Phosphorustotal</t>
  </si>
  <si>
    <t xml:space="preserve">Phosphorustotal oeverdiepte 0-25 (g/kg) </t>
  </si>
  <si>
    <t>A_P_RT_OR_50</t>
  </si>
  <si>
    <t xml:space="preserve">Phosphorustotal oeverdiepte 25-50 (g/kg) </t>
  </si>
  <si>
    <t>A_PB_RT_OR_25</t>
  </si>
  <si>
    <t>Lead total</t>
  </si>
  <si>
    <t xml:space="preserve">Lead total oeverdiepte 0-25 (mg/kg) </t>
  </si>
  <si>
    <t>A_PB_RT_OR_50</t>
  </si>
  <si>
    <t xml:space="preserve">Lead total oeverdiepte 25-50 (mg/kg) </t>
  </si>
  <si>
    <t>A_PH_KCL_OR_25</t>
  </si>
  <si>
    <t>pH (KCl)</t>
  </si>
  <si>
    <t>-log (H +)</t>
  </si>
  <si>
    <t xml:space="preserve">pH (KCl) oeverdiepte 0-25 (-log (H +)) </t>
  </si>
  <si>
    <t>A_PH_KCL_OR_50</t>
  </si>
  <si>
    <t xml:space="preserve">pH (KCl) oeverdiepte 25-50 (-log (H +)) </t>
  </si>
  <si>
    <t>A_RB_RT_OR_25</t>
  </si>
  <si>
    <t>Rubidium Total</t>
  </si>
  <si>
    <t xml:space="preserve">Rubidium Total oeverdiepte 0-25 (mg/kg) </t>
  </si>
  <si>
    <t>A_RB_RT_OR_50</t>
  </si>
  <si>
    <t xml:space="preserve">Rubidium Total oeverdiepte 25-50 (mg/kg) </t>
  </si>
  <si>
    <t>A_S_RT_OR_25</t>
  </si>
  <si>
    <t>Sulphur total</t>
  </si>
  <si>
    <t xml:space="preserve">Sulphur total oeverdiepte 0-25 (g/kg) </t>
  </si>
  <si>
    <t>A_S_RT_OR_50</t>
  </si>
  <si>
    <t xml:space="preserve">Sulphur total oeverdiepte 25-50 (g/kg) </t>
  </si>
  <si>
    <t>A_SC_RT_OR_25</t>
  </si>
  <si>
    <t>Scandium Total</t>
  </si>
  <si>
    <t xml:space="preserve">Scandium Total oeverdiepte 0-25 (mg/kg) </t>
  </si>
  <si>
    <t>A_SC_RT_OR_50</t>
  </si>
  <si>
    <t xml:space="preserve">Scandium Total oeverdiepte 25-50 (mg/kg) </t>
  </si>
  <si>
    <t>A_SI_RT_OR_25</t>
  </si>
  <si>
    <t>Silicium total</t>
  </si>
  <si>
    <t xml:space="preserve">Silicium total oeverdiepte 0-25 (g/kg) </t>
  </si>
  <si>
    <t>A_SI_RT_OR_50</t>
  </si>
  <si>
    <t xml:space="preserve">Silicium total oeverdiepte 25-50 (g/kg) </t>
  </si>
  <si>
    <t>A_SOM_LOI</t>
  </si>
  <si>
    <t>organisch stof bodemschat</t>
  </si>
  <si>
    <t>A_SR_RT_OR_25</t>
  </si>
  <si>
    <t>Strontium Total</t>
  </si>
  <si>
    <t xml:space="preserve">Strontium Total oeverdiepte 0-25 (mg/kg) </t>
  </si>
  <si>
    <t>A_SR_RT_OR_50</t>
  </si>
  <si>
    <t xml:space="preserve">Strontium Total oeverdiepte 25-50 (mg/kg) </t>
  </si>
  <si>
    <t>A_TI_RT_OR_25</t>
  </si>
  <si>
    <t>Titanium total</t>
  </si>
  <si>
    <t xml:space="preserve">Titanium total oeverdiepte 0-25 (g/kg) </t>
  </si>
  <si>
    <t>A_TI_RT_OR_50</t>
  </si>
  <si>
    <t xml:space="preserve">Titanium total oeverdiepte 25-50 (g/kg) </t>
  </si>
  <si>
    <t>A_V_RT_OR_25</t>
  </si>
  <si>
    <t>Vanadium Total</t>
  </si>
  <si>
    <t xml:space="preserve">Vanadium Total oeverdiepte 0-25 (mg/kg) </t>
  </si>
  <si>
    <t>A_V_RT_OR_50</t>
  </si>
  <si>
    <t xml:space="preserve">Vanadium Total oeverdiepte 25-50 (mg/kg) </t>
  </si>
  <si>
    <t>A_Y_RT_OR_25</t>
  </si>
  <si>
    <t>Yttrium Total</t>
  </si>
  <si>
    <t xml:space="preserve">Yttrium Total oeverdiepte 0-25 (mg/kg) </t>
  </si>
  <si>
    <t>A_Y_RT_OR_50</t>
  </si>
  <si>
    <t xml:space="preserve">Yttrium Total oeverdiepte 25-50 (mg/kg) </t>
  </si>
  <si>
    <t>A_ZN_CO_OR_25</t>
  </si>
  <si>
    <t>Zinc  (Exch)</t>
  </si>
  <si>
    <t xml:space="preserve">Zinc  (Exch) oeverdiepte 0-25 (mmol+/kg) </t>
  </si>
  <si>
    <t>A_ZN_CO_OR_50</t>
  </si>
  <si>
    <t xml:space="preserve">Zinc  (Exch) oeverdiepte 25-50 (mmol+/kg) </t>
  </si>
  <si>
    <t>A_ZN_M3_OR_25</t>
  </si>
  <si>
    <t>Zinc (M3)</t>
  </si>
  <si>
    <t xml:space="preserve">Zinc (M3) oeverdiepte 0-25 (mg/kg) </t>
  </si>
  <si>
    <t>A_ZN_M3_OR_50</t>
  </si>
  <si>
    <t xml:space="preserve">Zinc (M3) oeverdiepte 25-50 (mg/kg) </t>
  </si>
  <si>
    <t>A_ZN_RT_OR_25</t>
  </si>
  <si>
    <t>Zinc total</t>
  </si>
  <si>
    <t xml:space="preserve">Zinc total oeverdiepte 0-25 (mg/kg) </t>
  </si>
  <si>
    <t>A_ZN_RT_OR_50</t>
  </si>
  <si>
    <t xml:space="preserve">Zinc total oeverdiepte 25-50 (mg/kg) </t>
  </si>
  <si>
    <t>afwatopp</t>
  </si>
  <si>
    <t>geodata</t>
  </si>
  <si>
    <t>afwateringsoppervlak</t>
  </si>
  <si>
    <t>Al_µmol/l_OW</t>
  </si>
  <si>
    <t>Al</t>
  </si>
  <si>
    <t>OW</t>
  </si>
  <si>
    <t>µmol/l</t>
  </si>
  <si>
    <t>icp Bware</t>
  </si>
  <si>
    <t>Al oppervlaktewater (µmol/l)</t>
  </si>
  <si>
    <t>Al_µmol/l_PW</t>
  </si>
  <si>
    <t>PW</t>
  </si>
  <si>
    <t>Al poriewater (µmol/l)</t>
  </si>
  <si>
    <t>verklarende</t>
  </si>
  <si>
    <t>Al_CC_µg/kg_OR_25</t>
  </si>
  <si>
    <t>µg/kg</t>
  </si>
  <si>
    <t>calciumchloride</t>
  </si>
  <si>
    <t>Al_CC_µg/kg oeverdiepte 0-25</t>
  </si>
  <si>
    <t>Al_CC_µg/kg_OR_50</t>
  </si>
  <si>
    <t>Al_CC_µg/kg oeverdiepte 25-50</t>
  </si>
  <si>
    <t>Al_CC_µg/kg_SB</t>
  </si>
  <si>
    <t>SB</t>
  </si>
  <si>
    <t>Al_CC_µg/kg slib</t>
  </si>
  <si>
    <t>AL_CO_mmol+/kg_OR_25</t>
  </si>
  <si>
    <t>cohex</t>
  </si>
  <si>
    <t>AL_CO_mmol+/kg oeverdiepte 0-25</t>
  </si>
  <si>
    <t>AL_CO_mmol+/kg_OR_50</t>
  </si>
  <si>
    <t>AL_CO_mmol+/kg oeverdiepte 25-50</t>
  </si>
  <si>
    <t>Al_M3_mg/kg_OR_25</t>
  </si>
  <si>
    <t>Al-M3</t>
  </si>
  <si>
    <t>M3</t>
  </si>
  <si>
    <t>Al_M3_mg/kg oeverdiepte 0-25</t>
  </si>
  <si>
    <t>Al_M3_mg/kg_OR_50</t>
  </si>
  <si>
    <t>Al_M3_mg/kg oeverdiepte 25-50</t>
  </si>
  <si>
    <t>Al_mmol/kg DW_SB</t>
  </si>
  <si>
    <t>mmol/kg DW</t>
  </si>
  <si>
    <t>Alslib (mmol/kg DW)</t>
  </si>
  <si>
    <t>Al_mmol/l FW_SB</t>
  </si>
  <si>
    <t>mmol/l FW</t>
  </si>
  <si>
    <t>Alslib (mmol/l FW)</t>
  </si>
  <si>
    <t>Al2O3_xrf_g/kg_OR_25</t>
  </si>
  <si>
    <t>Al2O3</t>
  </si>
  <si>
    <t>xrf</t>
  </si>
  <si>
    <t>Al2O3 xrf oeverdiepte 0-25 (g/kg)</t>
  </si>
  <si>
    <t>metalen</t>
  </si>
  <si>
    <t>Al2O3_xrf_g/kg_OR_50</t>
  </si>
  <si>
    <t>Al2O3 xrf oeverdiepte 25-50 (g/kg)</t>
  </si>
  <si>
    <t>Al2O3_xrf_g/kg_SB</t>
  </si>
  <si>
    <t>Al2O3 xrf slib (g/kg)</t>
  </si>
  <si>
    <t>alk_meq/l_OW</t>
  </si>
  <si>
    <t>alk</t>
  </si>
  <si>
    <t>meq/l</t>
  </si>
  <si>
    <t>alk_meq/loppervlaktewater</t>
  </si>
  <si>
    <t>alk_meq/l_PW</t>
  </si>
  <si>
    <t>Bware</t>
  </si>
  <si>
    <t>alkaliniteit (meq/l) poriewater</t>
  </si>
  <si>
    <t>Anorg N_OW</t>
  </si>
  <si>
    <t>Anorg N</t>
  </si>
  <si>
    <t>Anorg N oppervlaktewater (µmol/l)</t>
  </si>
  <si>
    <t>B _M3_mg/kg_OR_25</t>
  </si>
  <si>
    <t>B-M3</t>
  </si>
  <si>
    <t>B _M3_mg/kg oeverdiepte 0-25</t>
  </si>
  <si>
    <t>B _M3_mg/kg_OR_50</t>
  </si>
  <si>
    <t>B _M3_mg/kg oeverdiepte 25-50</t>
  </si>
  <si>
    <t>B_CC_µg/kg_OR_25</t>
  </si>
  <si>
    <t>B</t>
  </si>
  <si>
    <t>B_CC_µg/kg oeverdiepte 0-25</t>
  </si>
  <si>
    <t>B_CC_µg/kg_OR_50</t>
  </si>
  <si>
    <t>B_CC_µg/kg oeverdiepte 25-50</t>
  </si>
  <si>
    <t>B_CC_µg/kg_SB</t>
  </si>
  <si>
    <t>B_CC_µg/kg slib</t>
  </si>
  <si>
    <t>B_CO_mmol+/kg_OR_25</t>
  </si>
  <si>
    <t>B_CO_mmol+/kg oeverdiepte 0-25</t>
  </si>
  <si>
    <t>B_CO_mmol+/kg_OR_50</t>
  </si>
  <si>
    <t>B_CO_mmol+/kg oeverdiepte 25-50</t>
  </si>
  <si>
    <t>Ba_xrf_mg/kg_OR_25</t>
  </si>
  <si>
    <t>Ba</t>
  </si>
  <si>
    <t>Ba xrf oeverdiepte 0-25 (mg/kg)</t>
  </si>
  <si>
    <t>Ba_xrf_mg/kg_OR_50</t>
  </si>
  <si>
    <t>Ba xrf oeverdiepte 25-50 (mg/kg)</t>
  </si>
  <si>
    <t>Ba_xrf_mg/kg_SB</t>
  </si>
  <si>
    <t>Ba xrf slib (mg/kg)</t>
  </si>
  <si>
    <t>basen_bez_OR_25</t>
  </si>
  <si>
    <t>basen</t>
  </si>
  <si>
    <t>berekend</t>
  </si>
  <si>
    <t>basenbezetting oeverdiepte 0-25</t>
  </si>
  <si>
    <t>z2</t>
  </si>
  <si>
    <t>basen_bez_OR_50</t>
  </si>
  <si>
    <t>basenbezetting</t>
  </si>
  <si>
    <t>basenbezetting oeverdiepte 25-50</t>
  </si>
  <si>
    <t>blauwalg_ug/l_OW</t>
  </si>
  <si>
    <t>blauwalg</t>
  </si>
  <si>
    <t>ug/l</t>
  </si>
  <si>
    <t>blauwalg oppervlaktewater (µg/l)</t>
  </si>
  <si>
    <t>Br_xrf_mg/kg_OR_25</t>
  </si>
  <si>
    <t>Br</t>
  </si>
  <si>
    <t>Br xrf oeverdiepte 0-25 (mg/kg)</t>
  </si>
  <si>
    <t>Br_xrf_mg/kg_OR_50</t>
  </si>
  <si>
    <t>Br xrf oeverdiepte 25-50 (mg/kg)</t>
  </si>
  <si>
    <t>Br_xrf_mg/kg_SB</t>
  </si>
  <si>
    <t>Br xrf slib (mg/kg)</t>
  </si>
  <si>
    <t>breedtewl</t>
  </si>
  <si>
    <t>genmiddelde breedte waterlopen</t>
  </si>
  <si>
    <t>bruinalg_ug/l_OW</t>
  </si>
  <si>
    <t>bruinalg</t>
  </si>
  <si>
    <t>bruinalg oppervlaktewater (µg/l)</t>
  </si>
  <si>
    <t>bulk density_kg DW/L FW_SB</t>
  </si>
  <si>
    <t>bulk density</t>
  </si>
  <si>
    <t>kg DW/L FW</t>
  </si>
  <si>
    <t>bulk density kg DW/L FW slib</t>
  </si>
  <si>
    <t>Ca_µmol/l_OW</t>
  </si>
  <si>
    <t>Ca</t>
  </si>
  <si>
    <t>Ca oppervlaktewater (µmol/l)</t>
  </si>
  <si>
    <t>Ca_µmol/l_PW</t>
  </si>
  <si>
    <t>Ca poriewater (µmol/l)</t>
  </si>
  <si>
    <t>CA_CO_mmol+/kg_OR_25</t>
  </si>
  <si>
    <t>CA_CO_mmol+/kg oeverdiepte 0-25</t>
  </si>
  <si>
    <t>CA_CO_mmol+/kg_OR_50</t>
  </si>
  <si>
    <t>CA_CO_mmol+/kg oeverdiepte 25-50</t>
  </si>
  <si>
    <t>Ca_M3_mg/kg_OR_25</t>
  </si>
  <si>
    <t>Ca-M3</t>
  </si>
  <si>
    <t>Ca_M3_mg/kg oeverdiepte 0-25</t>
  </si>
  <si>
    <t>Ca_M3_mg/kg_OR_50</t>
  </si>
  <si>
    <t>Ca_M3_mg/kg oeverdiepte 25-50</t>
  </si>
  <si>
    <t>Ca_mmol/kg DW_SB</t>
  </si>
  <si>
    <t>Caslib (mmol/kg DW)</t>
  </si>
  <si>
    <t>Ca_mmol/l FW_SB</t>
  </si>
  <si>
    <t>Caslib (mmol/l FW)</t>
  </si>
  <si>
    <t>CaO_xrf_g/kg_OR_25</t>
  </si>
  <si>
    <t>CaO</t>
  </si>
  <si>
    <t>CaO xrf oeverdiepte 0-25 (g/kg)</t>
  </si>
  <si>
    <t>CaO_xrf_g/kg_OR_50</t>
  </si>
  <si>
    <t>CaO xrf oeverdiepte 25-50 (g/kg)</t>
  </si>
  <si>
    <t>CaO_xrf_g/kg_SB</t>
  </si>
  <si>
    <t>CaO xrf slib (g/kg)</t>
  </si>
  <si>
    <t>CEC_CO_mmol+/kg_OR_25</t>
  </si>
  <si>
    <t>CEC</t>
  </si>
  <si>
    <t>CEC_CO_mmol+/kg oeverdiepte 0-25</t>
  </si>
  <si>
    <t>CEC_CO_mmol+/kg_OR_50</t>
  </si>
  <si>
    <t>CEC_CO_mmol+/kg oeverdiepte 25-50</t>
  </si>
  <si>
    <t>Chl-a totaal_ug/l_OW</t>
  </si>
  <si>
    <t>Chl-a totaal</t>
  </si>
  <si>
    <t>Chl-a totaal oppervlaktewater (µg/l)</t>
  </si>
  <si>
    <t>Cl _mmol/kg DW_SB</t>
  </si>
  <si>
    <t>Cl</t>
  </si>
  <si>
    <t>Cl slib (mmol/kg DW)</t>
  </si>
  <si>
    <t>Cl_µmol/l_OW</t>
  </si>
  <si>
    <t>Cl oppervlaktewater (µmol/l)</t>
  </si>
  <si>
    <t>Cl_µmol/l_PW</t>
  </si>
  <si>
    <t>Cl poriewater (µmol/l)</t>
  </si>
  <si>
    <t>Cl_2_µmol/l_OW</t>
  </si>
  <si>
    <t>Cl2</t>
  </si>
  <si>
    <t>Cl_2 oppervlaktewater (µmol/l)</t>
  </si>
  <si>
    <t>Cl_2_µmol/l_PW</t>
  </si>
  <si>
    <t>Cl_2 poriewater (µmol/l)</t>
  </si>
  <si>
    <t>Cl_mmol/l FW_SB</t>
  </si>
  <si>
    <t>Clslib (mmol/l FW)</t>
  </si>
  <si>
    <t>clusters</t>
  </si>
  <si>
    <t>clusters_clustber</t>
  </si>
  <si>
    <t>insitu</t>
  </si>
  <si>
    <t>Co_CC_µg/kg_OR_25</t>
  </si>
  <si>
    <t>Co</t>
  </si>
  <si>
    <t>Co_CC_µg/kg oeverdiepte 0-25</t>
  </si>
  <si>
    <t>Co_CC_µg/kg_OR_50</t>
  </si>
  <si>
    <t>Co_CC_µg/kg oeverdiepte 25-50</t>
  </si>
  <si>
    <t>Co_CC_µg/kg_SB</t>
  </si>
  <si>
    <t>Co_CC_µg/kg slib</t>
  </si>
  <si>
    <t>Co_M3_mg/kg_OR_25</t>
  </si>
  <si>
    <t>Co-M3</t>
  </si>
  <si>
    <t>Co_M3_mg/kg oeverdiepte 0-25</t>
  </si>
  <si>
    <t>Co_M3_mg/kg_OR_50</t>
  </si>
  <si>
    <t>Co_M3_mg/kg oeverdiepte 25-50</t>
  </si>
  <si>
    <t>Co_xrf_mg/kg_OR_25</t>
  </si>
  <si>
    <t>Co xrf oeverdiepte 0-25 (mg/kg)</t>
  </si>
  <si>
    <t>Co_xrf_mg/kg_OR_50</t>
  </si>
  <si>
    <t>Co xrf oeverdiepte 25-50 (mg/kg)</t>
  </si>
  <si>
    <t>Co_xrf_mg/kg_SB</t>
  </si>
  <si>
    <t>Co xrf slib (mg/kg)</t>
  </si>
  <si>
    <t>CO2_µmol/l_OW</t>
  </si>
  <si>
    <t>CO2</t>
  </si>
  <si>
    <t>CO2 oppervlaktewater (µmol/l)</t>
  </si>
  <si>
    <t>CO2_µmol/l_PW</t>
  </si>
  <si>
    <t>infrarood Bware</t>
  </si>
  <si>
    <t>CO2 poriewater (µmol/l)</t>
  </si>
  <si>
    <t>Cr_xrf_mg/kg_OR_25</t>
  </si>
  <si>
    <t>Cr</t>
  </si>
  <si>
    <t>Cr xrf oeverdiepte 0-25 (mg/kg)</t>
  </si>
  <si>
    <t>Cr_xrf_mg/kg_OR_50</t>
  </si>
  <si>
    <t>Cr xrf oeverdiepte 25-50 (mg/kg)</t>
  </si>
  <si>
    <t>Cr_xrf_mg/kg_SB</t>
  </si>
  <si>
    <t>Cr xrf slib (mg/kg)</t>
  </si>
  <si>
    <t>Cu_CC_µg/kg_OR_25</t>
  </si>
  <si>
    <t>Cu</t>
  </si>
  <si>
    <t>Cu_CC_µg/kg oeverdiepte 0-25</t>
  </si>
  <si>
    <t>Cu_CC_µg/kg_OR_50</t>
  </si>
  <si>
    <t>Cu_CC_µg/kg oeverdiepte 25-50</t>
  </si>
  <si>
    <t>Cu_CC_µg/kg_SB</t>
  </si>
  <si>
    <t>Cu_CC_µg/kg slib</t>
  </si>
  <si>
    <t>CU_CO_mmol+/kg_OR_25</t>
  </si>
  <si>
    <t>CU</t>
  </si>
  <si>
    <t>CU_CO_mmol+/kg oeverdiepte 0-25</t>
  </si>
  <si>
    <t>CU_CO_mmol+/kg_OR_50</t>
  </si>
  <si>
    <t>CU_CO_mmol+/kg oeverdiepte 25-50</t>
  </si>
  <si>
    <t>Cu_M3_mg/kg_OR_25</t>
  </si>
  <si>
    <t>Cu-M3</t>
  </si>
  <si>
    <t>Cu_M3_mg/kg oeverdiepte 0-25</t>
  </si>
  <si>
    <t>Cu_M3_mg/kg_OR_50</t>
  </si>
  <si>
    <t>Cu_M3_mg/kg oeverdiepte 25-50</t>
  </si>
  <si>
    <t>Cu_xrf_mg/kg_OR_25</t>
  </si>
  <si>
    <t>Cu xrf oeverdiepte 0-25 (mg/kg)</t>
  </si>
  <si>
    <t>Cu_xrf_mg/kg_OR_50</t>
  </si>
  <si>
    <t>Cu xrf oeverdiepte 25-50 (mg/kg)</t>
  </si>
  <si>
    <t>Cu_xrf_mg/kg_SB</t>
  </si>
  <si>
    <t>Cu xrf slib (mg/kg)</t>
  </si>
  <si>
    <t>DN_µmol/l_OW</t>
  </si>
  <si>
    <t>DN</t>
  </si>
  <si>
    <t>DN oppervlaktewater (µmol/l)</t>
  </si>
  <si>
    <t>DOC_µmol/l_OW</t>
  </si>
  <si>
    <t>DOC</t>
  </si>
  <si>
    <t>DOC oppervlaktewater (µmol/l)</t>
  </si>
  <si>
    <t>doorzicht2_mid_cm</t>
  </si>
  <si>
    <t>doorzicht</t>
  </si>
  <si>
    <t>m</t>
  </si>
  <si>
    <t>doorzicht (m)</t>
  </si>
  <si>
    <t>drglg</t>
  </si>
  <si>
    <t>drooglegging</t>
  </si>
  <si>
    <t>profiel</t>
  </si>
  <si>
    <t>drooglegging (m)</t>
  </si>
  <si>
    <t>z1+z2</t>
  </si>
  <si>
    <t>drlg</t>
  </si>
  <si>
    <t>drooglegging obv waterpeilen en AHN4 (m)</t>
  </si>
  <si>
    <t>EGV_µs/cm_OW</t>
  </si>
  <si>
    <t>EGV</t>
  </si>
  <si>
    <t>µs/cm</t>
  </si>
  <si>
    <t>EGV oppervlaktewater (µS/cm)</t>
  </si>
  <si>
    <t>EGV_µs/cm_PW</t>
  </si>
  <si>
    <t>EGV poriewater (µs/cm)</t>
  </si>
  <si>
    <t>ext.__OW</t>
  </si>
  <si>
    <t>extinctie</t>
  </si>
  <si>
    <t>extinctie (450nm) oppervlaktewater</t>
  </si>
  <si>
    <t>check relatie doorzicht</t>
  </si>
  <si>
    <t>ext__PW</t>
  </si>
  <si>
    <t>ext</t>
  </si>
  <si>
    <t>extinctie (450nm) poriewater</t>
  </si>
  <si>
    <t>Fe/P_DW_SB</t>
  </si>
  <si>
    <t>Fe/P</t>
  </si>
  <si>
    <t>DW</t>
  </si>
  <si>
    <t>Fe/P_DW slib</t>
  </si>
  <si>
    <t>Fe/P_PW</t>
  </si>
  <si>
    <t>Fe/P poriewater</t>
  </si>
  <si>
    <t>z1</t>
  </si>
  <si>
    <t>Fe/S_DW_SB</t>
  </si>
  <si>
    <t>Fe/S</t>
  </si>
  <si>
    <t>Fe/S_DW slib</t>
  </si>
  <si>
    <t>Fe_µmol/l_OW</t>
  </si>
  <si>
    <t>Fe</t>
  </si>
  <si>
    <t>Fe oppervlaktewater (µmol/l)</t>
  </si>
  <si>
    <t>Fe_µmol/l_PW</t>
  </si>
  <si>
    <t>Fe poriewater (µmol/l)</t>
  </si>
  <si>
    <t>Fe_CC_mg/kg_OR_25</t>
  </si>
  <si>
    <t>Fe_CC_mg/kg oeverdiepte 0-25</t>
  </si>
  <si>
    <t>Fe_CC_mg/kg_OR_50</t>
  </si>
  <si>
    <t>Fe_CC_mg/kg oeverdiepte 25-50</t>
  </si>
  <si>
    <t>Fe_CC_mg/kg_SB</t>
  </si>
  <si>
    <t>Fe_CC_mg/kg slib</t>
  </si>
  <si>
    <t>FE_CO_mmol+/kg_OR_25</t>
  </si>
  <si>
    <t>FE_CO_mmol+/kg oeverdiepte 0-25</t>
  </si>
  <si>
    <t>FE_CO_mmol+/kg_OR_50</t>
  </si>
  <si>
    <t>FE_CO_mmol+/kg oeverdiepte 25-50</t>
  </si>
  <si>
    <t>Fe_M3_mg/kg_OR_25</t>
  </si>
  <si>
    <t>Fe-M3</t>
  </si>
  <si>
    <t>Fe_M3_mg/kg oeverdiepte 0-25</t>
  </si>
  <si>
    <t>Fe_M3_mg/kg_OR_50</t>
  </si>
  <si>
    <t>Fe_M3_mg/kg oeverdiepte 25-50</t>
  </si>
  <si>
    <t>Fe_mmol/kg DW_SB</t>
  </si>
  <si>
    <t>Feslib (mmol/kg DW)</t>
  </si>
  <si>
    <t>Fe_mmol/l FW_SB</t>
  </si>
  <si>
    <t>Feslib (mmol/l FW)</t>
  </si>
  <si>
    <t>Fe2O3_xrf_g/kg_OR_25</t>
  </si>
  <si>
    <t>Fe2O3</t>
  </si>
  <si>
    <t>Fe2O3 xrf oeverdiepte 0-25 (g/kg)</t>
  </si>
  <si>
    <t>Fe2O3_xrf_g/kg_OR_50</t>
  </si>
  <si>
    <t>Fe2O3 xrf oeverdiepte 25-50 (g/kg)</t>
  </si>
  <si>
    <t>Fe2O3_xrf_g/kg_SB</t>
  </si>
  <si>
    <t>Fe2O3 xrf slib (g/kg)</t>
  </si>
  <si>
    <t>feP_CC_SB_SB</t>
  </si>
  <si>
    <t>CC</t>
  </si>
  <si>
    <t>feP_CC slib slib</t>
  </si>
  <si>
    <t>feP_DW_SB</t>
  </si>
  <si>
    <t>feP_DW slib</t>
  </si>
  <si>
    <t>feP_OR_CC_OR_25</t>
  </si>
  <si>
    <t>feP CC oeverdiepte 0-25</t>
  </si>
  <si>
    <t>feP_OR_CC_OR_50</t>
  </si>
  <si>
    <t>feP CC oeverdiepte 25-50</t>
  </si>
  <si>
    <t>feP_OR_XRF_OR_25</t>
  </si>
  <si>
    <t>feP XRF oeverdiepte 0-25</t>
  </si>
  <si>
    <t>feP_OR_XRF_OR_50</t>
  </si>
  <si>
    <t>feP XRF oeverdiepte 25-50</t>
  </si>
  <si>
    <t>feP_PW</t>
  </si>
  <si>
    <t>feP poriewater</t>
  </si>
  <si>
    <t>feP_XRF_SB_SB</t>
  </si>
  <si>
    <t>feP xrf slib slib</t>
  </si>
  <si>
    <t>feS_CC_SB_SB</t>
  </si>
  <si>
    <t>feS_CC slib slib</t>
  </si>
  <si>
    <t>feS_DW_SB</t>
  </si>
  <si>
    <t>feS_DW slib</t>
  </si>
  <si>
    <t>feS_OR_CC_OR_25</t>
  </si>
  <si>
    <t>feS CC oeverdiepte 0-25</t>
  </si>
  <si>
    <t>feS_OR_CC_OR_50</t>
  </si>
  <si>
    <t>feS CC oeverdiepte 25-50</t>
  </si>
  <si>
    <t>feS_OR_XRF_OR_25</t>
  </si>
  <si>
    <t>feS XRF oeverdiepte 0-25</t>
  </si>
  <si>
    <t>feS_OR_XRF_OR_50</t>
  </si>
  <si>
    <t>feS XRF oeverdiepte 25-50</t>
  </si>
  <si>
    <t>feS_PW</t>
  </si>
  <si>
    <t>feS poriewater</t>
  </si>
  <si>
    <t>feS_XRF_SB_SB</t>
  </si>
  <si>
    <t>feS xrf slib slib</t>
  </si>
  <si>
    <t>Ga_xrf_mg/kg_OR_25</t>
  </si>
  <si>
    <t>Ga</t>
  </si>
  <si>
    <t>Ga xrf oeverdiepte 0-25 (mg/kg)</t>
  </si>
  <si>
    <t>Ga_xrf_mg/kg_OR_50</t>
  </si>
  <si>
    <t>Ga xrf oeverdiepte 25-50 (mg/kg)</t>
  </si>
  <si>
    <t>Ga_xrf_mg/kg_SB</t>
  </si>
  <si>
    <t>Ga xrf slib (mg/kg)</t>
  </si>
  <si>
    <t>groenalg_ug/l_OW</t>
  </si>
  <si>
    <t>groenalg</t>
  </si>
  <si>
    <t>groenalg oppervlaktewater (µg/l)</t>
  </si>
  <si>
    <t>HCO3_µmol/l_OW</t>
  </si>
  <si>
    <t>HCO3</t>
  </si>
  <si>
    <t>HCO3 oppervlaktewater (µmol/l)</t>
  </si>
  <si>
    <t>HCO3_µmol/l_PW</t>
  </si>
  <si>
    <t>HCO3 poriewater (µmol/l)</t>
  </si>
  <si>
    <t>holleoever</t>
  </si>
  <si>
    <t>onderholling</t>
  </si>
  <si>
    <t>cm</t>
  </si>
  <si>
    <t>onderholling oever (cm)</t>
  </si>
  <si>
    <t>insteek_(10,20]</t>
  </si>
  <si>
    <t>indringingsweerstand</t>
  </si>
  <si>
    <t>mPa</t>
  </si>
  <si>
    <t>berekend obv penetrometer</t>
  </si>
  <si>
    <t>gemiddelde per diepteinteval</t>
  </si>
  <si>
    <t>indringingsweerstand insteek_(10,20] (mPa)</t>
  </si>
  <si>
    <t>insteek_(20,30]</t>
  </si>
  <si>
    <t>indringingsweerstand insteek_(20,30] (mPa)</t>
  </si>
  <si>
    <t>insteek_(30,40]</t>
  </si>
  <si>
    <t>indringingsweerstand insteek_(30,40] (mPa)</t>
  </si>
  <si>
    <t>insteek_(40,50]</t>
  </si>
  <si>
    <t>indringingsweerstand insteek_(40,50] (mPa)</t>
  </si>
  <si>
    <t>insteek_(50,85]</t>
  </si>
  <si>
    <t>indringingsweerstand insteek_(50,85] (mPa)</t>
  </si>
  <si>
    <t>insteek_[0,10]</t>
  </si>
  <si>
    <t>indringingsweerstand insteek_[0,10] (mPa)</t>
  </si>
  <si>
    <t>K _M3_mg/kg_OR_25</t>
  </si>
  <si>
    <t>K-M3</t>
  </si>
  <si>
    <t>K _M3_mg/kg oeverdiepte 0-25</t>
  </si>
  <si>
    <t>K _M3_mg/kg_OR_50</t>
  </si>
  <si>
    <t>K _M3_mg/kg oeverdiepte 25-50</t>
  </si>
  <si>
    <t>K_µmol/l_OW</t>
  </si>
  <si>
    <t>K</t>
  </si>
  <si>
    <t>K oppervlaktewater (µmol/l)</t>
  </si>
  <si>
    <t>K_µmol/l_PW</t>
  </si>
  <si>
    <t>K poriewater (µmol/l)</t>
  </si>
  <si>
    <t>K_2_µmol/l_OW</t>
  </si>
  <si>
    <t>K2</t>
  </si>
  <si>
    <t>K_2 oppervlaktewater (µmol/l)</t>
  </si>
  <si>
    <t>K_2_µmol/l_PW</t>
  </si>
  <si>
    <t>K_2 poriewater (µmol/l)</t>
  </si>
  <si>
    <t>K_CC_mg/kg_OR_25</t>
  </si>
  <si>
    <t>K_CC_mg/kg oeverdiepte 0-25</t>
  </si>
  <si>
    <t>K_CC_mg/kg_OR_50</t>
  </si>
  <si>
    <t>K_CC_mg/kg oeverdiepte 25-50</t>
  </si>
  <si>
    <t>K_CC_mg/kg_SB</t>
  </si>
  <si>
    <t>K_CC_mg/kg slib</t>
  </si>
  <si>
    <t>K_CO_mmol+/kg_OR_25</t>
  </si>
  <si>
    <t>K_CO_mmol+/kg oeverdiepte 0-25</t>
  </si>
  <si>
    <t>K_CO_mmol+/kg_OR_50</t>
  </si>
  <si>
    <t>K_CO_mmol+/kg oeverdiepte 25-50</t>
  </si>
  <si>
    <t>K_mmol/kg DW_SB</t>
  </si>
  <si>
    <t>Kslib (mmol/kg DW)</t>
  </si>
  <si>
    <t>K_mmol/l FW_SB</t>
  </si>
  <si>
    <t>Kslib (mmol/l FW)</t>
  </si>
  <si>
    <t>K2O_xrf_g/kg_OR_25</t>
  </si>
  <si>
    <t>K2O</t>
  </si>
  <si>
    <t>K2O xrf oeverdiepte 0-25 (g/kg)</t>
  </si>
  <si>
    <t>K2O_xrf_g/kg_OR_50</t>
  </si>
  <si>
    <t>K2O xrf oeverdiepte 25-50 (g/kg)</t>
  </si>
  <si>
    <t>K2O_xrf_g/kg_SB</t>
  </si>
  <si>
    <t>K2O xrf slib (g/kg)</t>
  </si>
  <si>
    <t>Karper_brasem</t>
  </si>
  <si>
    <t>vegetatieopname</t>
  </si>
  <si>
    <t>max_slib</t>
  </si>
  <si>
    <t>slibdikte</t>
  </si>
  <si>
    <t>slibdikte (m)</t>
  </si>
  <si>
    <t>max_wtd</t>
  </si>
  <si>
    <t>waterdiepte</t>
  </si>
  <si>
    <t>berekend obv profiel</t>
  </si>
  <si>
    <t>waterdiepte (m)</t>
  </si>
  <si>
    <t>Mg_µmol/l_OW</t>
  </si>
  <si>
    <t>Mg</t>
  </si>
  <si>
    <t>Mg oppervlaktewater (µmol/l)</t>
  </si>
  <si>
    <t>Mg_µmol/l_PW</t>
  </si>
  <si>
    <t>Mg poriewater (µmol/l)</t>
  </si>
  <si>
    <t>Mg_CC_mg/kg_OR_25</t>
  </si>
  <si>
    <t>Mg_CC_mg/kg oeverdiepte 0-25</t>
  </si>
  <si>
    <t>Mg_CC_mg/kg_OR_50</t>
  </si>
  <si>
    <t>Mg_CC_mg/kg oeverdiepte 25-50</t>
  </si>
  <si>
    <t>Mg_CC_mg/kg_SB</t>
  </si>
  <si>
    <t>Mg_CC_mg/kg slib</t>
  </si>
  <si>
    <t>MG_CO_mmol+/kg_OR_25</t>
  </si>
  <si>
    <t>MG</t>
  </si>
  <si>
    <t>MG_CO_mmol+/kg oeverdiepte 0-25</t>
  </si>
  <si>
    <t>MG_CO_mmol+/kg_OR_50</t>
  </si>
  <si>
    <t>MG_CO_mmol+/kg oeverdiepte 25-50</t>
  </si>
  <si>
    <t>Mg_M3_mg/kg_OR_25</t>
  </si>
  <si>
    <t>Mg-M3</t>
  </si>
  <si>
    <t>Mg_M3_mg/kg oeverdiepte 0-25</t>
  </si>
  <si>
    <t>Mg_M3_mg/kg_OR_50</t>
  </si>
  <si>
    <t>Mg_M3_mg/kg oeverdiepte 25-50</t>
  </si>
  <si>
    <t>Mg_mmol/kg DW_SB</t>
  </si>
  <si>
    <t>Mgslib (mmol/kg DW)</t>
  </si>
  <si>
    <t>Mg_mmol/l FW_SB</t>
  </si>
  <si>
    <t>Mgslib (mmol/l FW)</t>
  </si>
  <si>
    <t>MgO_xrf_g/kg_OR_25</t>
  </si>
  <si>
    <t>MgO</t>
  </si>
  <si>
    <t>MgO xrf oeverdiepte 0-25 (g/kg)</t>
  </si>
  <si>
    <t>MgO_xrf_g/kg_OR_50</t>
  </si>
  <si>
    <t>MgO xrf oeverdiepte 25-50 (g/kg)</t>
  </si>
  <si>
    <t>MgO_xrf_g/kg_SB</t>
  </si>
  <si>
    <t>MgO xrf slib (g/kg)</t>
  </si>
  <si>
    <t>Mn_µmol/l_OW</t>
  </si>
  <si>
    <t>Mn</t>
  </si>
  <si>
    <t>Mn oppervlaktewater (µmol/l)</t>
  </si>
  <si>
    <t>Mn_µmol/l_PW</t>
  </si>
  <si>
    <t>Mn poriewater (µmol/l)</t>
  </si>
  <si>
    <t>Mn_CC_mg/kg_OR_25</t>
  </si>
  <si>
    <t>Mn_CC_mg/kg oeverdiepte 0-25</t>
  </si>
  <si>
    <t>Mn_CC_mg/kg_OR_50</t>
  </si>
  <si>
    <t>Mn_CC_mg/kg oeverdiepte 25-50</t>
  </si>
  <si>
    <t>Mn_CC_mg/kg_SB</t>
  </si>
  <si>
    <t>Mn_CC_mg/kg slib</t>
  </si>
  <si>
    <t>MN_CO_mmol+/kg_OR_25</t>
  </si>
  <si>
    <t>MN</t>
  </si>
  <si>
    <t>MN_CO_mmol+/kg oeverdiepte 0-25</t>
  </si>
  <si>
    <t>MN_CO_mmol+/kg_OR_50</t>
  </si>
  <si>
    <t>MN_CO_mmol+/kg oeverdiepte 25-50</t>
  </si>
  <si>
    <t>Mn_M3_mg/kg_OR_25</t>
  </si>
  <si>
    <t>Mn-M3</t>
  </si>
  <si>
    <t>Mn_M3_mg/kg oeverdiepte 0-25</t>
  </si>
  <si>
    <t>Mn_M3_mg/kg_OR_50</t>
  </si>
  <si>
    <t>Mn_M3_mg/kg oeverdiepte 25-50</t>
  </si>
  <si>
    <t>Mn_mmol/kg DW_SB</t>
  </si>
  <si>
    <t>Mnslib (mmol/kg DW)</t>
  </si>
  <si>
    <t>Mn_mmol/l FW_SB</t>
  </si>
  <si>
    <t>Mnslib (mmol/l FW)</t>
  </si>
  <si>
    <t>MnO_xrf_mg/kg_OR_25</t>
  </si>
  <si>
    <t>MnO</t>
  </si>
  <si>
    <t>MnO xrf oeverdiepte 0-25 (mg/kg)</t>
  </si>
  <si>
    <t>MnO_xrf_mg/kg_OR_50</t>
  </si>
  <si>
    <t>MnO xrf oeverdiepte 25-50 (mg/kg)</t>
  </si>
  <si>
    <t>MnO_xrf_mg/kg_SB</t>
  </si>
  <si>
    <t>MnO xrf slib (mg/kg)</t>
  </si>
  <si>
    <t>Mo_CC_mg/kg_OR_25</t>
  </si>
  <si>
    <t>Mo</t>
  </si>
  <si>
    <t>Mo_CC_mg/kg oeverdiepte 0-25</t>
  </si>
  <si>
    <t>Mo_CC_mg/kg_OR_50</t>
  </si>
  <si>
    <t>Mo_CC_mg/kg oeverdiepte 25-50</t>
  </si>
  <si>
    <t>Mo_CC_mg/kg_SB</t>
  </si>
  <si>
    <t>Mo_CC_mg/kg slib</t>
  </si>
  <si>
    <t>MO_CO_mmol+/kg_OR_25</t>
  </si>
  <si>
    <t>MO</t>
  </si>
  <si>
    <t>MO_CO_mmol+/kg oeverdiepte 0-25</t>
  </si>
  <si>
    <t>MO_CO_mmol+/kg_OR_50</t>
  </si>
  <si>
    <t>MO_CO_mmol+/kg oeverdiepte 25-50</t>
  </si>
  <si>
    <t>Mo_M3_mg/kg_OR_25</t>
  </si>
  <si>
    <t>Mo-M3</t>
  </si>
  <si>
    <t>Mo_M3_mg/kg oeverdiepte 0-25</t>
  </si>
  <si>
    <t>Mo_M3_mg/kg_OR_50</t>
  </si>
  <si>
    <t>Mo_M3_mg/kg oeverdiepte 25-50</t>
  </si>
  <si>
    <t>Na_µmol/l_OW</t>
  </si>
  <si>
    <t>Na</t>
  </si>
  <si>
    <t>Na oppervlaktewater (µmol/l)</t>
  </si>
  <si>
    <t>Na_µmol/l_PW</t>
  </si>
  <si>
    <t>Na poriewater (µmol/l)</t>
  </si>
  <si>
    <t>Na_2_µmol/l_OW</t>
  </si>
  <si>
    <t>Na2</t>
  </si>
  <si>
    <t>Na_2 oppervlaktewater (µmol/l)</t>
  </si>
  <si>
    <t>Na_2_µmol/l_PW</t>
  </si>
  <si>
    <t>Na_2 poriewater (µmol/l)</t>
  </si>
  <si>
    <t>Na_CC_mg/kg_OR_25</t>
  </si>
  <si>
    <t>Na_CC_mg/kg oeverdiepte 0-25</t>
  </si>
  <si>
    <t>Na_CC_mg/kg_OR_50</t>
  </si>
  <si>
    <t>Na_CC_mg/kg oeverdiepte 25-50</t>
  </si>
  <si>
    <t>Na_CC_mg/kg_SB</t>
  </si>
  <si>
    <t>Na_CC_mg/kg slib</t>
  </si>
  <si>
    <t>NA_CO_mmol+/kg_OR_25</t>
  </si>
  <si>
    <t>NA_CO_mmol+/kg oeverdiepte 0-25</t>
  </si>
  <si>
    <t>NA_CO_mmol+/kg_OR_50</t>
  </si>
  <si>
    <t>NA_CO_mmol+/kg oeverdiepte 25-50</t>
  </si>
  <si>
    <t>Na_M3_mg/kg_OR_25</t>
  </si>
  <si>
    <t>Na-M3</t>
  </si>
  <si>
    <t>Na_M3_mg/kg oeverdiepte 0-25</t>
  </si>
  <si>
    <t>Na_M3_mg/kg_OR_50</t>
  </si>
  <si>
    <t>Na_M3_mg/kg oeverdiepte 25-50</t>
  </si>
  <si>
    <t>Na_mmol/kg DW_SB</t>
  </si>
  <si>
    <t>Na slib (mmol/kg DW)</t>
  </si>
  <si>
    <t>Na_mmol/l FW_SB</t>
  </si>
  <si>
    <t>Na slib (mmol/l FW)</t>
  </si>
  <si>
    <t>Na2O_xrf_g/kg_OR_25</t>
  </si>
  <si>
    <t>Na2O</t>
  </si>
  <si>
    <t>Na2O xrf oeverdiepte 0-25 (g/kg)</t>
  </si>
  <si>
    <t>Na2O_xrf_g/kg_OR_50</t>
  </si>
  <si>
    <t>Na2O xrf oeverdiepte 25-50 (g/kg)</t>
  </si>
  <si>
    <t>Na2O_xrf_g/kg_SB</t>
  </si>
  <si>
    <t>Na2O xrf slib (g/kg)</t>
  </si>
  <si>
    <t>Nb_xrf_mg/kg_OR_25</t>
  </si>
  <si>
    <t>Nb</t>
  </si>
  <si>
    <t>Nb xrf oeverdiepte 0-25 (mg/kg)</t>
  </si>
  <si>
    <t>Nb_xrf_mg/kg_OR_50</t>
  </si>
  <si>
    <t>Nb xrf oeverdiepte 25-50 (mg/kg)</t>
  </si>
  <si>
    <t>Nb_xrf_mg/kg_SB</t>
  </si>
  <si>
    <t>Nb xrf slib (mg/kg)</t>
  </si>
  <si>
    <t>NH4_µmol/l_OW</t>
  </si>
  <si>
    <t>NH4</t>
  </si>
  <si>
    <t>NH4 oppervlaktewater (µmol/l)</t>
  </si>
  <si>
    <t>NH4_µmol/l_PW</t>
  </si>
  <si>
    <t>NH4 poriewater (µmol/l)</t>
  </si>
  <si>
    <t>Ni_CC_µg/kg_OR_25</t>
  </si>
  <si>
    <t>Ni</t>
  </si>
  <si>
    <t>Ni_CC_µg/kg oeverdiepte 0-25</t>
  </si>
  <si>
    <t>Ni_CC_µg/kg_OR_50</t>
  </si>
  <si>
    <t>Ni_CC_µg/kg oeverdiepte 25-50</t>
  </si>
  <si>
    <t>Ni_CC_µg/kg_SB</t>
  </si>
  <si>
    <t>Ni_CC_µg/kg slib</t>
  </si>
  <si>
    <t>NI_CO_mmol+/kg_OR_25</t>
  </si>
  <si>
    <t>NI</t>
  </si>
  <si>
    <t>NI_CO_mmol+/kg oeverdiepte 0-25</t>
  </si>
  <si>
    <t>NI_CO_mmol+/kg_OR_50</t>
  </si>
  <si>
    <t>NI_CO_mmol+/kg oeverdiepte 25-50</t>
  </si>
  <si>
    <t>Ni_M3_mg/kg_OR_25</t>
  </si>
  <si>
    <t>Ni-M3</t>
  </si>
  <si>
    <t>Ni_M3_mg/kg oeverdiepte 0-25</t>
  </si>
  <si>
    <t>Ni_M3_mg/kg_OR_50</t>
  </si>
  <si>
    <t>Ni_M3_mg/kg oeverdiepte 25-50</t>
  </si>
  <si>
    <t>Ni_xrf_mg/kg_OR_25</t>
  </si>
  <si>
    <t>Ni xrf oeverdiepte 0-25 (mg/kg)</t>
  </si>
  <si>
    <t>Ni_xrf_mg/kg_OR_50</t>
  </si>
  <si>
    <t>Ni xrf oeverdiepte 25-50 (mg/kg)</t>
  </si>
  <si>
    <t>Ni_xrf_mg/kg_SB</t>
  </si>
  <si>
    <t>Ni xrf slib (mg/kg)</t>
  </si>
  <si>
    <t>N-NH4_CC_mg/kg_OR_25</t>
  </si>
  <si>
    <t>N-NH4</t>
  </si>
  <si>
    <t>N-NH4_CC_mg/kg oeverdiepte 0-25</t>
  </si>
  <si>
    <t>N-NH4_CC_mg/kg_OR_50</t>
  </si>
  <si>
    <t>N-NH4_CC_mg/kg oeverdiepte 25-50</t>
  </si>
  <si>
    <t>N-NH4_CC_mg/kg_SB</t>
  </si>
  <si>
    <t>N-NH4_CC_mg/kg slib</t>
  </si>
  <si>
    <t>N-NO2_CC_mg/kg_OR_25</t>
  </si>
  <si>
    <t>N-NO2</t>
  </si>
  <si>
    <t>N-NO2_CC_mg/kg oeverdiepte 0-25</t>
  </si>
  <si>
    <t>N-NO2_CC_mg/kg_OR_50</t>
  </si>
  <si>
    <t>N-NO2_CC_mg/kg oeverdiepte 25-50</t>
  </si>
  <si>
    <t>N-NO2_CC_mg/kg_SB</t>
  </si>
  <si>
    <t>N-NO2_CC_mg/kg slib</t>
  </si>
  <si>
    <t>N-NO3_CC_mg/kg_OR_25</t>
  </si>
  <si>
    <t>N-NO3</t>
  </si>
  <si>
    <t>N-NO3_CC_mg/kg oeverdiepte 0-25</t>
  </si>
  <si>
    <t>N-NO3_CC_mg/kg_OR_50</t>
  </si>
  <si>
    <t>N-NO3_CC_mg/kg oeverdiepte 25-50</t>
  </si>
  <si>
    <t>N-NO3_CC_mg/kg_SB</t>
  </si>
  <si>
    <t>N-NO3_CC_mg/kg slib</t>
  </si>
  <si>
    <t>NO3_µmol/l_OW</t>
  </si>
  <si>
    <t>NO3</t>
  </si>
  <si>
    <t>NO3 oppervlaktewater (µmol/l)</t>
  </si>
  <si>
    <t>NO3_µmol/l_PW</t>
  </si>
  <si>
    <t>NO3 poriewater (µmol/l)</t>
  </si>
  <si>
    <t>nr lab_OW</t>
  </si>
  <si>
    <t>nr lab</t>
  </si>
  <si>
    <t>nr lab oppervlaktewater</t>
  </si>
  <si>
    <t>nr lab_PW</t>
  </si>
  <si>
    <t>nr lab poriewater</t>
  </si>
  <si>
    <t>oever_(10,20]</t>
  </si>
  <si>
    <t>indringingsweerstand oever_(10,20] (mPa)</t>
  </si>
  <si>
    <t>oever_(20,30]</t>
  </si>
  <si>
    <t>indringingsweerstand oever_(20,30] (mPa)</t>
  </si>
  <si>
    <t>oever_(30,40]</t>
  </si>
  <si>
    <t>indringingsweerstand oever_(30,40] (mPa)</t>
  </si>
  <si>
    <t>oever_(40,50]</t>
  </si>
  <si>
    <t>indringingsweerstand oever_(40,50] (mPa)</t>
  </si>
  <si>
    <t>oever_(50,85]</t>
  </si>
  <si>
    <t>indringingsweerstand oever_(50,85] (mPa)</t>
  </si>
  <si>
    <t>oever_[0,10]</t>
  </si>
  <si>
    <t>indringingsweerstand oever_[0,10] (mPa)</t>
  </si>
  <si>
    <t>Oeverzone_2_veg_vorigjaar</t>
  </si>
  <si>
    <t>vegvorigjaar</t>
  </si>
  <si>
    <t>Oeverzone_2a_breedte_cm</t>
  </si>
  <si>
    <t>breedte</t>
  </si>
  <si>
    <t>2a</t>
  </si>
  <si>
    <t>Oeverzone_2a_breedte (cm)</t>
  </si>
  <si>
    <t>Oeverzone_2a_emers_perc</t>
  </si>
  <si>
    <t>emers</t>
  </si>
  <si>
    <t>Oeverzone_2a_emers (%)</t>
  </si>
  <si>
    <t>Oeverzone_2a_gem_veg_hoogte_cm</t>
  </si>
  <si>
    <t>gemveghoogte</t>
  </si>
  <si>
    <t>Oeverzone_2a_gem_veg_hoogte (cm)</t>
  </si>
  <si>
    <t>Oeverzone_2a_hout_perc</t>
  </si>
  <si>
    <t>hout</t>
  </si>
  <si>
    <t>Oeverzone_2a_hout (%)</t>
  </si>
  <si>
    <t>Oeverzone_2a_kaal_perc</t>
  </si>
  <si>
    <t>kaal</t>
  </si>
  <si>
    <t>Oeverzone_2a_kaal (%)</t>
  </si>
  <si>
    <t>Oeverzone_2a_kraggen_perc</t>
  </si>
  <si>
    <t>kraggen</t>
  </si>
  <si>
    <t>Oeverzone_2a_kraggen (%)</t>
  </si>
  <si>
    <t>Oeverzone_2a_natans_perc</t>
  </si>
  <si>
    <t>natans</t>
  </si>
  <si>
    <t>Oeverzone_2a_natans (%)</t>
  </si>
  <si>
    <t>Oeverzone_2a_subm_tot_perc</t>
  </si>
  <si>
    <t>subm</t>
  </si>
  <si>
    <t>Oeverzone_2a_subm_tot (%)</t>
  </si>
  <si>
    <t>Oeverzone_2a_ter_gras_kruid_perc</t>
  </si>
  <si>
    <t>graskruiden</t>
  </si>
  <si>
    <t>Oeverzone_2a_ter_gras_kruid (%)</t>
  </si>
  <si>
    <t>Oeverzone_2b_breedte_cm</t>
  </si>
  <si>
    <t>2b</t>
  </si>
  <si>
    <t>Oeverzone_2b_breedte (cm)</t>
  </si>
  <si>
    <t>Oeverzone_2b_emers_perc</t>
  </si>
  <si>
    <t>Oeverzone_2b_emers (%)</t>
  </si>
  <si>
    <t>Oeverzone_2b_gem_veg_hoogte_cm</t>
  </si>
  <si>
    <t>Oeverzone_2b_gem_veg_hoogte (cm)</t>
  </si>
  <si>
    <t>Oeverzone_2b_hout_perc</t>
  </si>
  <si>
    <t>Oeverzone_2b_hout (%)</t>
  </si>
  <si>
    <t>Oeverzone_2b_kaal_perc</t>
  </si>
  <si>
    <t>Oeverzone_2b_kaal (%)</t>
  </si>
  <si>
    <t>Oeverzone_2b_kraggen_perc</t>
  </si>
  <si>
    <t>Oeverzone_2b_kraggen (%)</t>
  </si>
  <si>
    <t>Oeverzone_2b_ter_gras_kruid_perc</t>
  </si>
  <si>
    <t>Oeverzone_2b_ter_gras_kruid (%)</t>
  </si>
  <si>
    <t>Oeverzone_2b_ter_prodgras_perc</t>
  </si>
  <si>
    <t>prodgras</t>
  </si>
  <si>
    <t>Oeverzone_2b_ter_prodgras (%)</t>
  </si>
  <si>
    <t>Oeverzone_2b_Vertrapping_lengte_perc</t>
  </si>
  <si>
    <t>Vertrappinglengte</t>
  </si>
  <si>
    <t>Oeverzone_2b_Vertrapping_lengte (%)</t>
  </si>
  <si>
    <t>Oeverzone_2b_Vertrapping_schade</t>
  </si>
  <si>
    <t>Vertrappingschade</t>
  </si>
  <si>
    <t>OS gehalte_%_SB</t>
  </si>
  <si>
    <t>organisch stof</t>
  </si>
  <si>
    <t>organisch stof slib (%)</t>
  </si>
  <si>
    <t>OS_perc_OR_25</t>
  </si>
  <si>
    <t>agroCares</t>
  </si>
  <si>
    <t>totaal organisch stof (g/kg) oeverdiepte 0-25</t>
  </si>
  <si>
    <t>x</t>
  </si>
  <si>
    <t>OS_perc_OR_50</t>
  </si>
  <si>
    <t>totaal organisch stof (g/kg) oeverdiepte 25-50</t>
  </si>
  <si>
    <t>P _M3_mg/kg_OR_25</t>
  </si>
  <si>
    <t>P-M3</t>
  </si>
  <si>
    <t>P _M3_mg/kg oeverdiepte 0-25</t>
  </si>
  <si>
    <t>P _M3_mg/kg_OR_50</t>
  </si>
  <si>
    <t>P _M3_mg/kg oeverdiepte 25-50</t>
  </si>
  <si>
    <t>P_µmol/l_OW</t>
  </si>
  <si>
    <t>P</t>
  </si>
  <si>
    <t>P oppervlaktewater (µmol/l)</t>
  </si>
  <si>
    <t>P_µmol/l_PW</t>
  </si>
  <si>
    <t>P poriewater (µmol/l)</t>
  </si>
  <si>
    <t>P_CC_mg/kg_OR_25</t>
  </si>
  <si>
    <t>P-CC</t>
  </si>
  <si>
    <t>P_CC_mg/kg oeverdiepte 0-25</t>
  </si>
  <si>
    <t>P_CC_mg/kg_OR_50</t>
  </si>
  <si>
    <t>P_CC_mg/kg oeverdiepte 25-50</t>
  </si>
  <si>
    <t>P_CC_mg/kg_SB</t>
  </si>
  <si>
    <t>P_CC_mg/kg slib</t>
  </si>
  <si>
    <t>P_CC_org_mg/kg_OR_25</t>
  </si>
  <si>
    <t>P-org</t>
  </si>
  <si>
    <t>P_CC_org_mg/kg oeverdiepte 0-25</t>
  </si>
  <si>
    <t>P_CC_org_mg/kg_OR_50</t>
  </si>
  <si>
    <t>P_CC_org_mg/kg oeverdiepte 25-50</t>
  </si>
  <si>
    <t>P_CC_org_mg/kg_SB</t>
  </si>
  <si>
    <t>P_CC_org_mg/kg slib</t>
  </si>
  <si>
    <t>P_CO_mmol-/kg_OR_25</t>
  </si>
  <si>
    <t>mmol-/kg</t>
  </si>
  <si>
    <t>P_CO_mmol-/kg oeverdiepte 0-25</t>
  </si>
  <si>
    <t>P_CO_mmol-/kg_OR_50</t>
  </si>
  <si>
    <t>P_CO_mmol-/kg oeverdiepte 25-50</t>
  </si>
  <si>
    <t>P_mmol/kg DW_SB</t>
  </si>
  <si>
    <t>P slib (mmol/kg DW)</t>
  </si>
  <si>
    <t>P_mmol/l FW_SB</t>
  </si>
  <si>
    <t>P slib (mmol/l FW)</t>
  </si>
  <si>
    <t>P2O5_xrf_g/kg_OR_25</t>
  </si>
  <si>
    <t>P2O5</t>
  </si>
  <si>
    <t>P2O5 xrf oeverdiepte 0-25 (g/kg)</t>
  </si>
  <si>
    <t>P2O5_xrf_g/kg_OR_50</t>
  </si>
  <si>
    <t>P2O5 xrf oeverdiepte 25-50 (g/kg)</t>
  </si>
  <si>
    <t>P2O5_xrf_g/kg_SB</t>
  </si>
  <si>
    <t>P2O5 xrf slib (g/kg)</t>
  </si>
  <si>
    <t>P-AL mg p2o5/100g_SB</t>
  </si>
  <si>
    <t>P-AL</t>
  </si>
  <si>
    <t>mg P2O5/  100g</t>
  </si>
  <si>
    <t>pal</t>
  </si>
  <si>
    <t>P-AL mg P2O5/ 100g slib</t>
  </si>
  <si>
    <t>P-AL mg/kg_OR_25</t>
  </si>
  <si>
    <t>P-AL mg/kg oeverdiepte 0-25</t>
  </si>
  <si>
    <t>P-AL mg/kg_OR_50</t>
  </si>
  <si>
    <t>P-AL mg/kg oeverdiepte 25-50</t>
  </si>
  <si>
    <t>P-AL mg/kg_SB</t>
  </si>
  <si>
    <t>P-AL mg/kg slib</t>
  </si>
  <si>
    <t>P-AL mg p2o5/100g_OR_25</t>
  </si>
  <si>
    <t>P-AL mg P2O5/ 100g oeverdiepte 0-25</t>
  </si>
  <si>
    <t>P-AL mg p2o5/100g_OR_50</t>
  </si>
  <si>
    <t>P-AL mg P2O5/ 100g oeverdiepte 25-50</t>
  </si>
  <si>
    <t>Pb_xrf_mg/kg_OR_25</t>
  </si>
  <si>
    <t>Pb</t>
  </si>
  <si>
    <t>Pb xrf oeverdiepte 0-25 (mg/kg)</t>
  </si>
  <si>
    <t>Pb_xrf_mg/kg_OR_50</t>
  </si>
  <si>
    <t>Pb xrf oeverdiepte 25-50 (mg/kg)</t>
  </si>
  <si>
    <t>Pb_xrf_mg/kg_SB</t>
  </si>
  <si>
    <t>Pb xrf slib (mg/kg)</t>
  </si>
  <si>
    <t>perceel_(10,20]</t>
  </si>
  <si>
    <t>indringingsweerstand perceel_(10,20] (mPa)</t>
  </si>
  <si>
    <t>perceel_(20,30]</t>
  </si>
  <si>
    <t>indringingsweerstand perceel_(20,30] (mPa)</t>
  </si>
  <si>
    <t>perceel_(30,40]</t>
  </si>
  <si>
    <t>indringingsweerstand perceel_(30,40] (mPa)</t>
  </si>
  <si>
    <t>perceel_(40,50]</t>
  </si>
  <si>
    <t>indringingsweerstand perceel_(40,50] (mPa)</t>
  </si>
  <si>
    <t>perceel_(50,85]</t>
  </si>
  <si>
    <t>indringingsweerstand perceel_(50,85] (mPa)</t>
  </si>
  <si>
    <t>perceel_[0,10]</t>
  </si>
  <si>
    <t>indringingsweerstand perceel_[0,10] (mPa)</t>
  </si>
  <si>
    <t>Perceel_4_hout_perc</t>
  </si>
  <si>
    <t>Perceel_4_hout (%)</t>
  </si>
  <si>
    <t>Perceel_4_kaal_perc</t>
  </si>
  <si>
    <t>Perceel_4_kaal (%)</t>
  </si>
  <si>
    <t>Perceel_4_ter_gras_kruid_perc</t>
  </si>
  <si>
    <t>Perceel_4_ter_gras_kruid (%)</t>
  </si>
  <si>
    <t>Perceel_4_ter_prodgras_perc</t>
  </si>
  <si>
    <t>Perceel_4_ter_prodgras (%)</t>
  </si>
  <si>
    <t>pH_CC_OR_25</t>
  </si>
  <si>
    <t>pH</t>
  </si>
  <si>
    <t>pH_CC oeverdiepte 0-25</t>
  </si>
  <si>
    <t>pH_CC_OR_50</t>
  </si>
  <si>
    <t>pH_CC oeverdiepte 25-50</t>
  </si>
  <si>
    <t>pH_CC_SB</t>
  </si>
  <si>
    <t>pH_CC slib</t>
  </si>
  <si>
    <t>pH_OW</t>
  </si>
  <si>
    <t>pH oppervlaktewater</t>
  </si>
  <si>
    <t>pH_PW</t>
  </si>
  <si>
    <t>pH poriewater</t>
  </si>
  <si>
    <t>PO4_µmol/l_OW</t>
  </si>
  <si>
    <t>PO4</t>
  </si>
  <si>
    <t>PO4 oppervlaktewater (µmol/l)</t>
  </si>
  <si>
    <t>P-PO4_CC_mg/kg_OR_25</t>
  </si>
  <si>
    <t>PO4-CC</t>
  </si>
  <si>
    <t>mg P/kg</t>
  </si>
  <si>
    <t>P-PO4_CC_mg/kg oeverdiepte 0-25</t>
  </si>
  <si>
    <t>P-PO4_CC_mg/kg_OR_50</t>
  </si>
  <si>
    <t>P-PO4_CC_mg/kg oeverdiepte 25-50</t>
  </si>
  <si>
    <t>P-PO4_CC_mg/kg_SB</t>
  </si>
  <si>
    <t>P-PO4_CC_mg/kg slib</t>
  </si>
  <si>
    <t>S _M3_mg/kg_OR_25</t>
  </si>
  <si>
    <t>S-M3</t>
  </si>
  <si>
    <t>S _M3_mg/kg oeverdiepte 0-25</t>
  </si>
  <si>
    <t>S _M3_mg/kg_OR_50</t>
  </si>
  <si>
    <t>S _M3_mg/kg oeverdiepte 25-50</t>
  </si>
  <si>
    <t>S_µmol/l_OW</t>
  </si>
  <si>
    <t>S</t>
  </si>
  <si>
    <t>S oppervlaktewater (µmol/l)</t>
  </si>
  <si>
    <t>S_µmol/l_PW</t>
  </si>
  <si>
    <t>S poriewater (µmol/l)</t>
  </si>
  <si>
    <t>S_CC_mg/kg_OR_25</t>
  </si>
  <si>
    <t>S_CC_mg/kg oeverdiepte 0-25</t>
  </si>
  <si>
    <t>S_CC_mg/kg_OR_50</t>
  </si>
  <si>
    <t>S_CC_mg/kg oeverdiepte 25-50</t>
  </si>
  <si>
    <t>S_CC_mg/kg_SB</t>
  </si>
  <si>
    <t>S_CC_mg/kg slib</t>
  </si>
  <si>
    <t>S_CO_mmol-/kg_OR_25</t>
  </si>
  <si>
    <t>S_CO_mmol-/kg oeverdiepte 0-25</t>
  </si>
  <si>
    <t>S_CO_mmol-/kg_OR_50</t>
  </si>
  <si>
    <t>S_CO_mmol-/kg oeverdiepte 25-50</t>
  </si>
  <si>
    <t>S_mmol/kg DW_SB</t>
  </si>
  <si>
    <t>S-totaal slib (mmol/kg DW)</t>
  </si>
  <si>
    <t>S_mmol/l FW_SB</t>
  </si>
  <si>
    <t>S-totaal slib (mmol/l FW)</t>
  </si>
  <si>
    <t>Si_µmol/l_OW</t>
  </si>
  <si>
    <t>Si</t>
  </si>
  <si>
    <t>Si oppervlaktewater (µmol/l)</t>
  </si>
  <si>
    <t>Si_µmol/l_PW</t>
  </si>
  <si>
    <t>Si poriewater (µmol/l)</t>
  </si>
  <si>
    <t>Si_mmol/kg DW_SB</t>
  </si>
  <si>
    <t>Si slib (mmol/kg DW)</t>
  </si>
  <si>
    <t>Si_mmol/l FW_SB</t>
  </si>
  <si>
    <t>Si slib (mmol/l FW)</t>
  </si>
  <si>
    <t>SiO2_xrf_g/kg_OR_25</t>
  </si>
  <si>
    <t>SiO2</t>
  </si>
  <si>
    <t>SiO2 xrf oeverdiepte 0-25 (g/kg)</t>
  </si>
  <si>
    <t>mineralen</t>
  </si>
  <si>
    <t>SiO2_xrf_g/kg_OR_50</t>
  </si>
  <si>
    <t>SiO2 xrf oeverdiepte 25-50 (g/kg)</t>
  </si>
  <si>
    <t>SiO2_xrf_g/kg_SB</t>
  </si>
  <si>
    <t>SiO2 xrf slib (g/kg)</t>
  </si>
  <si>
    <t>slib_conductiviteit_uS_cm</t>
  </si>
  <si>
    <t>conductiviteit</t>
  </si>
  <si>
    <t>µS/cm</t>
  </si>
  <si>
    <t>conductiviteit slib (µS/cm)</t>
  </si>
  <si>
    <t>slib_O2_mgL</t>
  </si>
  <si>
    <t>O2</t>
  </si>
  <si>
    <t>mg/l</t>
  </si>
  <si>
    <t>O2 slib (mg/l)</t>
  </si>
  <si>
    <t>slib_pH</t>
  </si>
  <si>
    <t>pH slib</t>
  </si>
  <si>
    <t>slib_redox_mgL</t>
  </si>
  <si>
    <t>redox</t>
  </si>
  <si>
    <t>mV</t>
  </si>
  <si>
    <t>redox slib (mV)</t>
  </si>
  <si>
    <t>doel</t>
  </si>
  <si>
    <t>sloot_nr</t>
  </si>
  <si>
    <t>sloot</t>
  </si>
  <si>
    <t>SO3_xrf_g/kg_OR_25</t>
  </si>
  <si>
    <t>SO3</t>
  </si>
  <si>
    <t>SO3 xrf oeverdiepte 0-25 (g/kg)</t>
  </si>
  <si>
    <t>SO3_xrf_g/kg_OR_50</t>
  </si>
  <si>
    <t>SO3 xrf oeverdiepte 25-50 (g/kg)</t>
  </si>
  <si>
    <t>SO3_xrf_g/kg_SB</t>
  </si>
  <si>
    <t>SO3 xrf slib (g/kg)</t>
  </si>
  <si>
    <t>Sr_xrf_mg/kg_OR_25</t>
  </si>
  <si>
    <t>Sr</t>
  </si>
  <si>
    <t>Sr xrf oeverdiepte 0-25 (mg/kg)</t>
  </si>
  <si>
    <t>Sr_xrf_mg/kg_OR_50</t>
  </si>
  <si>
    <t>Sr xrf oeverdiepte 25-50 (mg/kg)</t>
  </si>
  <si>
    <t>Sr_xrf_mg/kg_SB</t>
  </si>
  <si>
    <t>Sr xrf slib (mg/kg)</t>
  </si>
  <si>
    <t>Terzone_3_breedte_cm</t>
  </si>
  <si>
    <t>Terzone_3_breedte (cm)</t>
  </si>
  <si>
    <t>Terzone_3_emers_perc</t>
  </si>
  <si>
    <t>Terzone_3_emers (%)</t>
  </si>
  <si>
    <t>Terzone_3_gem_veg_hoogte_cm</t>
  </si>
  <si>
    <t>Terzone_3_gem_veg_hoogte (cm)</t>
  </si>
  <si>
    <t>Terzone_3_hout_perc</t>
  </si>
  <si>
    <t>Terzone_3_hout (%)</t>
  </si>
  <si>
    <t>Terzone_3_kaal_perc</t>
  </si>
  <si>
    <t>Terzone_3_kaal (%)</t>
  </si>
  <si>
    <t>Terzone_3_ter_gras_kruid_perc</t>
  </si>
  <si>
    <t>Terzone_3_ter_gras_kruid (%)</t>
  </si>
  <si>
    <t>Terzone_3_ter_prodgras_perc</t>
  </si>
  <si>
    <t>Terzone_3_ter_prodgras (%)</t>
  </si>
  <si>
    <t>Terzone_3_Vertrapping_lengte_perc</t>
  </si>
  <si>
    <t>Terzone_3_Vertrapping_lengte (%)</t>
  </si>
  <si>
    <t>Terzone_3_Vertrapping_schade</t>
  </si>
  <si>
    <t>TIC conc _µmol/l_OW</t>
  </si>
  <si>
    <t>TIC conc</t>
  </si>
  <si>
    <t>TIC conc  oppervlaktewater (µmol/l)</t>
  </si>
  <si>
    <t>TIC conc _µmol/l_PW</t>
  </si>
  <si>
    <t>TIC poriewater (µmol/l)</t>
  </si>
  <si>
    <t>TiO2_xrf_g/kg_OR_25</t>
  </si>
  <si>
    <t>TiO2</t>
  </si>
  <si>
    <t>TiO2 xrf oeverdiepte 0-25 (g/kg)</t>
  </si>
  <si>
    <t>TiO2_xrf_g/kg_OR_50</t>
  </si>
  <si>
    <t>TiO2 xrf oeverdiepte 25-50 (g/kg)</t>
  </si>
  <si>
    <t>TiO2_xrf_g/kg_SB</t>
  </si>
  <si>
    <t>TiO2 xrf slib (g/kg)</t>
  </si>
  <si>
    <t>tldk_oevrwtr_perc</t>
  </si>
  <si>
    <t>tldk_bovenwater</t>
  </si>
  <si>
    <t>taludhoek boven water (%)</t>
  </si>
  <si>
    <t>tldk_vastbodem_perc</t>
  </si>
  <si>
    <t>tldk_vastebodem</t>
  </si>
  <si>
    <t>taludhoek vaste bodem (onder slib) (%)</t>
  </si>
  <si>
    <t>tldk_wtrwtr_perc</t>
  </si>
  <si>
    <t>tldk_onderwater</t>
  </si>
  <si>
    <t>taludhoek onder water (%)</t>
  </si>
  <si>
    <t>TN_µmol/l_OW</t>
  </si>
  <si>
    <t>TN</t>
  </si>
  <si>
    <t>TN oppervlaktewater (µmol/l)</t>
  </si>
  <si>
    <t>TOC [%]_OR_25</t>
  </si>
  <si>
    <t>TOC</t>
  </si>
  <si>
    <t>totaal organisch koolstof (%) oeverdiepte 0-25</t>
  </si>
  <si>
    <t>TOC [%]_OR_50</t>
  </si>
  <si>
    <t>totaal organisch koolstof (%) oeverdiepte 25-50</t>
  </si>
  <si>
    <t>TOC [g/kg]_OR_25</t>
  </si>
  <si>
    <t>totaal organisch koolstof ([g/kg) oeverdiepte 0-25</t>
  </si>
  <si>
    <t>TOC [g/kg]_OR_50</t>
  </si>
  <si>
    <t>totaal organisch koolstof (g/kg) oeverdiepte 25-50</t>
  </si>
  <si>
    <t>TOC_µmol/l_OW</t>
  </si>
  <si>
    <t>TOC oppervlaktewater (µmol/l)</t>
  </si>
  <si>
    <t>?</t>
  </si>
  <si>
    <t>trofie</t>
  </si>
  <si>
    <t>trofie veen</t>
  </si>
  <si>
    <t>turb. _NTU_OW</t>
  </si>
  <si>
    <t>turbiditeit</t>
  </si>
  <si>
    <t>NTU</t>
  </si>
  <si>
    <t>turbiditeit oppervlaktewater (NTU)</t>
  </si>
  <si>
    <t>V _M3_mg/kg_OR_25</t>
  </si>
  <si>
    <t>V-M3</t>
  </si>
  <si>
    <t>V _M3_mg/kg oeverdiepte 0-25</t>
  </si>
  <si>
    <t>V _M3_mg/kg_OR_50</t>
  </si>
  <si>
    <t>V _M3_mg/kg oeverdiepte 25-50</t>
  </si>
  <si>
    <t>V_CO_mmol+/kg_OR_25</t>
  </si>
  <si>
    <t>V</t>
  </si>
  <si>
    <t>V_CO_mmol+/kg oeverdiepte 0-25</t>
  </si>
  <si>
    <t>V_CO_mmol+/kg_OR_50</t>
  </si>
  <si>
    <t>V_CO_mmol+/kg oeverdiepte 25-50</t>
  </si>
  <si>
    <t>V_xrf_mg/kg_OR_25</t>
  </si>
  <si>
    <t>V xrf oeverdiepte 0-25 (mg/kg)</t>
  </si>
  <si>
    <t>V_xrf_mg/kg_OR_50</t>
  </si>
  <si>
    <t>V xrf oeverdiepte 25-50 (mg/kg)</t>
  </si>
  <si>
    <t>V_xrf_mg/kg_SB</t>
  </si>
  <si>
    <t>V xrf slib (mg/kg)</t>
  </si>
  <si>
    <t>vochtgeh_%_SB</t>
  </si>
  <si>
    <t>vochtgeh</t>
  </si>
  <si>
    <t>vochtgehalte slib (%)</t>
  </si>
  <si>
    <t>watbte</t>
  </si>
  <si>
    <t>waterbreedte</t>
  </si>
  <si>
    <t>waterbreedte (m)</t>
  </si>
  <si>
    <t>water_conductiviteit_uS_cm</t>
  </si>
  <si>
    <t>conductiviteit water (µS_cm)</t>
  </si>
  <si>
    <t>water_O2_mgL</t>
  </si>
  <si>
    <t>O2 water (mg/l)</t>
  </si>
  <si>
    <t>water_pH</t>
  </si>
  <si>
    <t>pH water</t>
  </si>
  <si>
    <t>water_redox</t>
  </si>
  <si>
    <t>redox water (mV)</t>
  </si>
  <si>
    <t>watertemp_C</t>
  </si>
  <si>
    <t>T</t>
  </si>
  <si>
    <t>C</t>
  </si>
  <si>
    <t>watertemp C</t>
  </si>
  <si>
    <t>Waterzone_1_breedte_cm</t>
  </si>
  <si>
    <t>Waterzone_1_breedte (cm)</t>
  </si>
  <si>
    <t>Waterzone_1_emers_perc</t>
  </si>
  <si>
    <t>Waterzone_1_emers (%)</t>
  </si>
  <si>
    <t>Waterzone_1_FLAB_perc</t>
  </si>
  <si>
    <t>FLAB</t>
  </si>
  <si>
    <t>Waterzone_1_FLAB (%)</t>
  </si>
  <si>
    <t>Waterzone_1_gem_veg_diepte_cm</t>
  </si>
  <si>
    <t>gemvegdiepte</t>
  </si>
  <si>
    <t>Waterzone_1_gem_veg_diepte (cm)</t>
  </si>
  <si>
    <t>Waterzone_1_kaal_perc</t>
  </si>
  <si>
    <t>Waterzone_1_kaal (%)</t>
  </si>
  <si>
    <t>Waterzone_1_kroos_perc</t>
  </si>
  <si>
    <t>kroos</t>
  </si>
  <si>
    <t>Waterzone_1_kroos (%)</t>
  </si>
  <si>
    <t>Waterzone_1_min_veg_diepte_cm</t>
  </si>
  <si>
    <t>minvegdiepte</t>
  </si>
  <si>
    <t>Waterzone_1_min_veg_diepte (cm)</t>
  </si>
  <si>
    <t>Waterzone_1_natans_perc</t>
  </si>
  <si>
    <t>Waterzone_1_natans (%)</t>
  </si>
  <si>
    <t>Waterzone_1_subm_tot_perc</t>
  </si>
  <si>
    <t>Waterzone_1_subm_tot (%)</t>
  </si>
  <si>
    <t>doel?</t>
  </si>
  <si>
    <t>Z_AFSLIB_SA_OR_25</t>
  </si>
  <si>
    <t>Afslibbaar</t>
  </si>
  <si>
    <t xml:space="preserve">Afslibbaar oeverdiepte 0-25 (%) </t>
  </si>
  <si>
    <t>Z_AFSLIB_SA_OR_50</t>
  </si>
  <si>
    <t xml:space="preserve">Afslibbaar oeverdiepte 25-50 (%) </t>
  </si>
  <si>
    <t>Z_B_CACL2_OR_25</t>
  </si>
  <si>
    <t>Boron (CaCl2)</t>
  </si>
  <si>
    <t xml:space="preserve">Boron (CaCl2) oeverdiepte 0-25 (µg/kg) </t>
  </si>
  <si>
    <t>Z_B_CACL2_OR_50</t>
  </si>
  <si>
    <t xml:space="preserve">Boron (CaCl2) oeverdiepte 25-50 (µg/kg) </t>
  </si>
  <si>
    <t>Z_CACO3_IF_OR_25</t>
  </si>
  <si>
    <t>inorganic carbon</t>
  </si>
  <si>
    <t xml:space="preserve">inorganic carbon oeverdiepte 0-25 (%) </t>
  </si>
  <si>
    <t>Z_CACO3_IF_OR_50</t>
  </si>
  <si>
    <t xml:space="preserve">inorganic carbon oeverdiepte 25-50 (%) </t>
  </si>
  <si>
    <t>Z_CLAY_SA_OR_25</t>
  </si>
  <si>
    <t>kleigehalte</t>
  </si>
  <si>
    <t xml:space="preserve">kleigehalte oeverdiepte 0-25 (%) </t>
  </si>
  <si>
    <t>Z_CLAY_SA_OR_50</t>
  </si>
  <si>
    <t xml:space="preserve">kleigehalte oeverdiepte 25-50 (%) </t>
  </si>
  <si>
    <t>Z_CO_CACL2_OR_25</t>
  </si>
  <si>
    <t>Cobalt (CaCl2)</t>
  </si>
  <si>
    <t xml:space="preserve">Cobalt (CaCl2) oeverdiepte 0-25 (µg/kg) </t>
  </si>
  <si>
    <t>Z_CO_CACL2_OR_50</t>
  </si>
  <si>
    <t xml:space="preserve">Cobalt (CaCl2) oeverdiepte 25-50 (µg/kg) </t>
  </si>
  <si>
    <t>Z_CU_CACL2_OR_25</t>
  </si>
  <si>
    <t>Copper (CaCl2)</t>
  </si>
  <si>
    <t xml:space="preserve">Copper (CaCl2) oeverdiepte 0-25 (µg/kg) </t>
  </si>
  <si>
    <t>Z_CU_CACL2_OR_50</t>
  </si>
  <si>
    <t xml:space="preserve">Copper (CaCl2) oeverdiepte 25-50 (µg/kg) </t>
  </si>
  <si>
    <t>Z_FE_CACL2_OR_25</t>
  </si>
  <si>
    <t>Iron (CaCl2)</t>
  </si>
  <si>
    <t xml:space="preserve">Iron (CaCl2) oeverdiepte 0-25 (µg/kg) </t>
  </si>
  <si>
    <t>Z_FE_CACL2_OR_50</t>
  </si>
  <si>
    <t xml:space="preserve">Iron (CaCl2) oeverdiepte 25-50 (µg/kg) </t>
  </si>
  <si>
    <t>Z_K_CACL2_OR_25</t>
  </si>
  <si>
    <t>Potassium (CaCl2)</t>
  </si>
  <si>
    <t>mg K / kg</t>
  </si>
  <si>
    <t xml:space="preserve">Potassium (CaCl2) oeverdiepte 0-25 (mg K / kg) </t>
  </si>
  <si>
    <t>Z_K_CACL2_OR_50</t>
  </si>
  <si>
    <t xml:space="preserve">Potassium (CaCl2) oeverdiepte 25-50 (mg K / kg) </t>
  </si>
  <si>
    <t>Z_K_HCL_OR_25</t>
  </si>
  <si>
    <t>K-HCl</t>
  </si>
  <si>
    <t>mg K2O / kg</t>
  </si>
  <si>
    <t xml:space="preserve">K-HCl oeverdiepte 0-25 (mg K2O / kg) </t>
  </si>
  <si>
    <t>Z_K_HCL_OR_50</t>
  </si>
  <si>
    <t xml:space="preserve">K-HCl oeverdiepte 25-50 (mg K2O / kg) </t>
  </si>
  <si>
    <t>Z_MG_CACL2_OR_25</t>
  </si>
  <si>
    <t>Magnesium (CaCl2)</t>
  </si>
  <si>
    <t xml:space="preserve">Magnesium (CaCl2) oeverdiepte 0-25 (mg/kg) </t>
  </si>
  <si>
    <t>Z_MG_CACL2_OR_50</t>
  </si>
  <si>
    <t xml:space="preserve">Magnesium (CaCl2) oeverdiepte 25-50 (mg/kg) </t>
  </si>
  <si>
    <t>Z_MN_CACL2_OR_25</t>
  </si>
  <si>
    <t>Manganese (CaCl2)</t>
  </si>
  <si>
    <t xml:space="preserve">Manganese (CaCl2) oeverdiepte 0-25 (µg/kg) </t>
  </si>
  <si>
    <t>Z_MN_CACL2_OR_50</t>
  </si>
  <si>
    <t xml:space="preserve">Manganese (CaCl2) oeverdiepte 25-50 (µg/kg) </t>
  </si>
  <si>
    <t>Z_NA_CACL2_OR_25</t>
  </si>
  <si>
    <t>Sodium (CaCl2)</t>
  </si>
  <si>
    <t xml:space="preserve">Sodium (CaCl2) oeverdiepte 0-25 (mg/kg) </t>
  </si>
  <si>
    <t>Z_NA_CACL2_OR_50</t>
  </si>
  <si>
    <t xml:space="preserve">Sodium (CaCl2) oeverdiepte 25-50 (mg/kg) </t>
  </si>
  <si>
    <t>Z_OM1_OF_OR_25</t>
  </si>
  <si>
    <t>organisch stof_liab</t>
  </si>
  <si>
    <t xml:space="preserve">organisch stof oeverdiepte 0-25 (%) </t>
  </si>
  <si>
    <t>Z_OM1_OF_OR_50</t>
  </si>
  <si>
    <t xml:space="preserve">organisch stof oeverdiepte 25-50 (%) </t>
  </si>
  <si>
    <t>Z_P_AL_OR_25</t>
  </si>
  <si>
    <t>mg P2O5 / 100g</t>
  </si>
  <si>
    <t xml:space="preserve">P-AL oeverdiepte 0-25 (mg P2O5 / 100g) </t>
  </si>
  <si>
    <t>Z_P_AL_OR_50</t>
  </si>
  <si>
    <t xml:space="preserve">P-AL oeverdiepte 25-50 (mg P2O5 / 100g) </t>
  </si>
  <si>
    <t>Z_P_CACL2_OR_25</t>
  </si>
  <si>
    <t>P (CaCl2)</t>
  </si>
  <si>
    <t xml:space="preserve">P (CaCl2) oeverdiepte 0-25 (mg/kg) </t>
  </si>
  <si>
    <t>Z_P_CACL2_OR_50</t>
  </si>
  <si>
    <t xml:space="preserve">P (CaCl2) oeverdiepte 25-50 (mg/kg) </t>
  </si>
  <si>
    <t>Z_P_WA1_OR_25</t>
  </si>
  <si>
    <t>P (water)</t>
  </si>
  <si>
    <t>mg P2O5 / l</t>
  </si>
  <si>
    <t xml:space="preserve">P (water) oeverdiepte 0-25 (mg P2O5 / l) </t>
  </si>
  <si>
    <t>Z_P_WA1_OR_50</t>
  </si>
  <si>
    <t xml:space="preserve">P (water) oeverdiepte 25-50 (mg P2O5 / l) </t>
  </si>
  <si>
    <t>Z_SAND_SA_OR_25</t>
  </si>
  <si>
    <t>zandgehalte</t>
  </si>
  <si>
    <t xml:space="preserve">zandgehalte oeverdiepte 0-25 (%) </t>
  </si>
  <si>
    <t>Z_SAND_SA_OR_50</t>
  </si>
  <si>
    <t xml:space="preserve">zandgehalte oeverdiepte 25-50 (%) </t>
  </si>
  <si>
    <t>Z_SE_CACL2_OR_25</t>
  </si>
  <si>
    <t>Selenium (CaCl2)</t>
  </si>
  <si>
    <t xml:space="preserve">Selenium (CaCl2) oeverdiepte 0-25 (µg/kg) </t>
  </si>
  <si>
    <t>Z_SE_CACL2_OR_50</t>
  </si>
  <si>
    <t xml:space="preserve">Selenium (CaCl2) oeverdiepte 25-50 (µg/kg) </t>
  </si>
  <si>
    <t>Z_SI_CACL2_OR_25</t>
  </si>
  <si>
    <t>Silicium (CaCl2)</t>
  </si>
  <si>
    <t xml:space="preserve">Silicium (CaCl2) oeverdiepte 0-25 (µg/kg) </t>
  </si>
  <si>
    <t>Z_SI_CACL2_OR_50</t>
  </si>
  <si>
    <t xml:space="preserve">Silicium (CaCl2) oeverdiepte 25-50 (µg/kg) </t>
  </si>
  <si>
    <t>Z_SILT_SA_OR_25</t>
  </si>
  <si>
    <t>slibgehalte (monster)</t>
  </si>
  <si>
    <t xml:space="preserve">slibgehalte (monster) oeverdiepte 0-25 (%) </t>
  </si>
  <si>
    <t>Z_SILT_SA_OR_50</t>
  </si>
  <si>
    <t xml:space="preserve">slibgehalte (monster) oeverdiepte 25-50 (%) </t>
  </si>
  <si>
    <t>Z_SSUPPLY_RT_OR_25</t>
  </si>
  <si>
    <t>SLV</t>
  </si>
  <si>
    <t xml:space="preserve">SLV oeverdiepte 0-25 () </t>
  </si>
  <si>
    <t>Z_SSUPPLY_RT_OR_50</t>
  </si>
  <si>
    <t xml:space="preserve">SLV oeverdiepte 25-50 () </t>
  </si>
  <si>
    <t>Z_ZN_CACL2_OR_25</t>
  </si>
  <si>
    <t>Zinc (CaCl2) ug / kg</t>
  </si>
  <si>
    <t xml:space="preserve">Zinc (CaCl2) ug / kg oeverdiepte 0-25 (µg/kg) </t>
  </si>
  <si>
    <t>Z_ZN_CACL2_OR_50</t>
  </si>
  <si>
    <t xml:space="preserve">Zinc (CaCl2) ug / kg oeverdiepte 25-50 (µg/kg) </t>
  </si>
  <si>
    <t>Zn_µmol/l_OW</t>
  </si>
  <si>
    <t>Zn</t>
  </si>
  <si>
    <t>Zn oppervlaktewater (µmol/l)</t>
  </si>
  <si>
    <t>Zn_µmol/l_PW</t>
  </si>
  <si>
    <t>Zn poriewater (µmol/l)</t>
  </si>
  <si>
    <t>Zn_CC_µg/kg_OR_25</t>
  </si>
  <si>
    <t>Zn_CC_µg/kg oeverdiepte 0-25</t>
  </si>
  <si>
    <t>Zn_CC_µg/kg_OR_50</t>
  </si>
  <si>
    <t>Zn_CC_µg/kg oeverdiepte 25-50</t>
  </si>
  <si>
    <t>Zn_CC_µg/kg_SB</t>
  </si>
  <si>
    <t>Zn_CC_µg/kg slib</t>
  </si>
  <si>
    <t>ZN_CO_mmol+/kg_OR_25</t>
  </si>
  <si>
    <t>ZN</t>
  </si>
  <si>
    <t>ZN_CO_mmol+/kg oeverdiepte 0-25</t>
  </si>
  <si>
    <t>ZN_CO_mmol+/kg_OR_50</t>
  </si>
  <si>
    <t>ZN_CO_mmol+/kg oeverdiepte 25-50</t>
  </si>
  <si>
    <t>Zn_M3_mg/kg_OR_25</t>
  </si>
  <si>
    <t>Zn-M3</t>
  </si>
  <si>
    <t>Zn_M3_mg/kg oeverdiepte 0-25</t>
  </si>
  <si>
    <t>Zn_M3_mg/kg_OR_50</t>
  </si>
  <si>
    <t>Zn_M3_mg/kg oeverdiepte 25-50</t>
  </si>
  <si>
    <t>Zn_mmol/kg DW_SB</t>
  </si>
  <si>
    <t>Zn slib (mmol/kg DW)</t>
  </si>
  <si>
    <t>Zn_mmol/l FW_SB</t>
  </si>
  <si>
    <t>Zn slib (mmol/l FW)</t>
  </si>
  <si>
    <t>Zn_xrf_mg/kg_OR_25</t>
  </si>
  <si>
    <t>Zn xrf oeverdiepte 0-25 (mg/kg)</t>
  </si>
  <si>
    <t>Zn_xrf_mg/kg_OR_50</t>
  </si>
  <si>
    <t>Zn xrf oeverdiepte 25-50 (mg/kg)</t>
  </si>
  <si>
    <t>Zn_xrf_mg/kg_SB</t>
  </si>
  <si>
    <t>Zn xrf slib (mg/kg)</t>
  </si>
  <si>
    <t>slib_redox_pH7</t>
  </si>
  <si>
    <t>redox (pH 7)</t>
  </si>
  <si>
    <t>redox slib (mV - pH genormaliseerd)</t>
  </si>
  <si>
    <t>water_redox_pH7</t>
  </si>
  <si>
    <t>aan_id</t>
  </si>
  <si>
    <t>aanid</t>
  </si>
  <si>
    <t>koeien drinken uit de sloot</t>
  </si>
  <si>
    <t>enquete</t>
  </si>
  <si>
    <t>koeien drinken sloot</t>
  </si>
  <si>
    <t>Drinken koeien uit de sloot?</t>
  </si>
  <si>
    <t>aantal_koedagen_per_jaar</t>
  </si>
  <si>
    <t>aantal koedagen per jaar</t>
  </si>
  <si>
    <t>a-1</t>
  </si>
  <si>
    <t>beheerenquete</t>
  </si>
  <si>
    <t>aantal_koeien_vee_perceel_dag</t>
  </si>
  <si>
    <t>aantal koeien vee perceel dag</t>
  </si>
  <si>
    <t>d-1</t>
  </si>
  <si>
    <t>baggerfrequentie_per_jaar</t>
  </si>
  <si>
    <t>baggerfrequentie per jaar</t>
  </si>
  <si>
    <t>eerste_baggermaand_sloot_fct</t>
  </si>
  <si>
    <t>baggermaanden_sloot</t>
  </si>
  <si>
    <t>berekend obv enquete</t>
  </si>
  <si>
    <t>eerst genoemde maand van baggerperiode_sloot genomen</t>
  </si>
  <si>
    <t>doc_µmol/l_pw</t>
  </si>
  <si>
    <t>DOC poriewater (µmol/l)</t>
  </si>
  <si>
    <t>slibkwaliteit_Bware</t>
  </si>
  <si>
    <t>don_µmol/l_pw</t>
  </si>
  <si>
    <t>DON</t>
  </si>
  <si>
    <t>DON poriewater (µmol/l)</t>
  </si>
  <si>
    <t>doorzicht2_mid_m</t>
  </si>
  <si>
    <t>abiotiek_odk</t>
  </si>
  <si>
    <t>draagkracht_oever</t>
  </si>
  <si>
    <t>0-50</t>
  </si>
  <si>
    <t>indringingsweerstand insteek_[0,50] (mPa)</t>
  </si>
  <si>
    <t>penetrometer</t>
  </si>
  <si>
    <t>draagkracht_perceel</t>
  </si>
  <si>
    <t>indringingsweerstand perceel_[0,50] (mPa)</t>
  </si>
  <si>
    <t>fe_mg_l_pw</t>
  </si>
  <si>
    <t>Fe poriewater (mg/l)</t>
  </si>
  <si>
    <t>fep_cc_sb_or_25</t>
  </si>
  <si>
    <t>slibkwaliteit_AC</t>
  </si>
  <si>
    <t>fep_cc_sb_or_50</t>
  </si>
  <si>
    <t>fep_xrf_sb_or_25</t>
  </si>
  <si>
    <t>fep_xrf_sb_or_50</t>
  </si>
  <si>
    <t>fes_cc_sb_or_25</t>
  </si>
  <si>
    <t>fes_cc_sb_or_50</t>
  </si>
  <si>
    <t>fes_xrf_sb_or_25</t>
  </si>
  <si>
    <t>fes_xrf_sb_or_50</t>
  </si>
  <si>
    <t>hoe_ver_van_oever_rijden</t>
  </si>
  <si>
    <t>hoe ver van oever rijden</t>
  </si>
  <si>
    <t>maaifrequentie_bemestingsvrije_zone_per_jaar</t>
  </si>
  <si>
    <t>maaifrequentie bemestingsvrije zone per jaar</t>
  </si>
  <si>
    <t>maaifrequentie_oever_per_jaar</t>
  </si>
  <si>
    <t>maaifrequentie oever per jaar</t>
  </si>
  <si>
    <t>eerste_maaimaand_oever_fct</t>
  </si>
  <si>
    <t>eerste maaimaand oever</t>
  </si>
  <si>
    <t>eerst genoemde maand van maaiperiode oever genomen</t>
  </si>
  <si>
    <t>max_hgt_or</t>
  </si>
  <si>
    <t>hoogte oever</t>
  </si>
  <si>
    <t>mNAP</t>
  </si>
  <si>
    <t>hoogte oever (mNAP)</t>
  </si>
  <si>
    <t>moist 105c (%)_or_25</t>
  </si>
  <si>
    <t>vocht</t>
  </si>
  <si>
    <t>vocht (%)</t>
  </si>
  <si>
    <t>moist 105c (%)_or_50</t>
  </si>
  <si>
    <t>moist 105c (%)_sb</t>
  </si>
  <si>
    <t>n-nh4 (mg/kg)_or_25</t>
  </si>
  <si>
    <t>bodemkwaliteit</t>
  </si>
  <si>
    <t>n-nh4 (mg/kg)_or_50</t>
  </si>
  <si>
    <t>n-nh4 (mg/kg)_sb</t>
  </si>
  <si>
    <t>n-no2 (mg/kg)_or_25</t>
  </si>
  <si>
    <t>n-no2 (mg/kg)_or_50</t>
  </si>
  <si>
    <t>n-no2 (mg/kg)_sb</t>
  </si>
  <si>
    <t>n-no3 (mg/kg)_or_25</t>
  </si>
  <si>
    <t>n-no3 (mg/kg)_or_50</t>
  </si>
  <si>
    <t>n-no3 (mg/kg)_sb</t>
  </si>
  <si>
    <t>n_mg_l_ow</t>
  </si>
  <si>
    <t>N</t>
  </si>
  <si>
    <t>N poriewater (mg/l)</t>
  </si>
  <si>
    <t>oevbte</t>
  </si>
  <si>
    <t>oeverbreedte</t>
  </si>
  <si>
    <t>oeverbreedte (m)</t>
  </si>
  <si>
    <t>oeverzone_2a_emers_m</t>
  </si>
  <si>
    <t>vegetatie_odk</t>
  </si>
  <si>
    <t>oeverzone_2a_veg_schade_oorzaak_baggerbeheer</t>
  </si>
  <si>
    <t>vegetatieschade door baggeren</t>
  </si>
  <si>
    <t>oeverzone_2a_veg_schade_oorzaak_maaibeheer</t>
  </si>
  <si>
    <t>vegetatieschade door maaien</t>
  </si>
  <si>
    <t>oeverzone_2a_veg_schade_oorzaak_onbekend</t>
  </si>
  <si>
    <t>vegetatieschade door onbekend</t>
  </si>
  <si>
    <t>oeverzone_2a_veg_schade_oorzaak_overig_zie_text</t>
  </si>
  <si>
    <t>vegetatieschade door overig</t>
  </si>
  <si>
    <t>oeverzone_2a_veg_schade_oorzaak_rivierkreeft</t>
  </si>
  <si>
    <t>vegetatieschade door rivierkreeft</t>
  </si>
  <si>
    <t>oeverzone_2a_veg_schade_oorzaak_vee</t>
  </si>
  <si>
    <t>vegetatieschade door vee</t>
  </si>
  <si>
    <t>oeverzone_2a_veg_schade_oorzaak_vogels</t>
  </si>
  <si>
    <t>vegetatieschade door vogels</t>
  </si>
  <si>
    <t>oeverzone_2a_veg_schade_totaal</t>
  </si>
  <si>
    <t>vegetatieschade</t>
  </si>
  <si>
    <t>oeverzone_2b_emers_m</t>
  </si>
  <si>
    <t>oeverzone_2b_veg_schade_oorzaak_maaibeheer</t>
  </si>
  <si>
    <t>oeverzone_2b_veg_schade_oorzaak_onbekend</t>
  </si>
  <si>
    <t>oeverzone_2b_veg_schade_oorzaak_overig_zie_text</t>
  </si>
  <si>
    <t>oeverzone_2b_veg_schade_oorzaak_vee</t>
  </si>
  <si>
    <t>oeverzone_2b_veg_schade_oorzaak_vogels</t>
  </si>
  <si>
    <t>oeverzone_2b_veg_schade_totaal</t>
  </si>
  <si>
    <t>p-po4 (mg/kg)_or_25</t>
  </si>
  <si>
    <t>p-po4 (mg/kg)_or_50</t>
  </si>
  <si>
    <t>p-po4 (mg/kg)_sb</t>
  </si>
  <si>
    <t>p_mg_l_ow</t>
  </si>
  <si>
    <t>P oppervlaktewater (mg/l)</t>
  </si>
  <si>
    <t>p_mg_l_pw</t>
  </si>
  <si>
    <t>P poriewater (mg/l)</t>
  </si>
  <si>
    <t>rivierkreeft</t>
  </si>
  <si>
    <t>n</t>
  </si>
  <si>
    <t>rivierkreeft (n)</t>
  </si>
  <si>
    <t>s_mg_l_pw</t>
  </si>
  <si>
    <t>S poriewater (mg/l)</t>
  </si>
  <si>
    <t>slib_temp_c</t>
  </si>
  <si>
    <t>slibtemp C</t>
  </si>
  <si>
    <t>slibdiepte</t>
  </si>
  <si>
    <t>slibddiepte (m tov waterspiegel)</t>
  </si>
  <si>
    <t>terzone_3_veg_schade_oorzaak_baggerbeheer</t>
  </si>
  <si>
    <t>terzone_3_veg_schade_oorzaak_maaibeheer</t>
  </si>
  <si>
    <t>terzone_3_veg_schade_oorzaak_onbekend</t>
  </si>
  <si>
    <t>terzone_3_veg_schade_oorzaak_overig_zie_text</t>
  </si>
  <si>
    <t>terzone_3_veg_schade_oorzaak_vee</t>
  </si>
  <si>
    <t>terzone_3_veg_schade_oorzaak_vogels</t>
  </si>
  <si>
    <t>terzone_3_veg_schade_totaal</t>
  </si>
  <si>
    <t>tldk_oevrwtr_graden</t>
  </si>
  <si>
    <t>graden</t>
  </si>
  <si>
    <t>taludhoek boven water (graden)</t>
  </si>
  <si>
    <t>tldk_vastbodem_graden</t>
  </si>
  <si>
    <t>taludhoek vaste bodem (onder slib) (graden)</t>
  </si>
  <si>
    <t>tldk_wtrwtr_graden</t>
  </si>
  <si>
    <t>taludhoek onder water (graden)</t>
  </si>
  <si>
    <t>veentype_num</t>
  </si>
  <si>
    <t>veentype</t>
  </si>
  <si>
    <t>vera_zone_1</t>
  </si>
  <si>
    <t>vera_zone_2</t>
  </si>
  <si>
    <t>vera_zone_3</t>
  </si>
  <si>
    <t>waterzone_1_emers_m</t>
  </si>
  <si>
    <t>waterzone_1_veg_schade_oorzaak_baggerbeheer</t>
  </si>
  <si>
    <t>waterzone_1_veg_schade_oorzaak_maaibeheer</t>
  </si>
  <si>
    <t>waterzone_1_veg_schade_oorzaak_onbekend</t>
  </si>
  <si>
    <t>waterzone_1_veg_schade_oorzaak_rivierkreeft</t>
  </si>
  <si>
    <t>waterzone_1_veg_schade_oorzaak_vee</t>
  </si>
  <si>
    <t>waterzone_1_veg_schade_oorzaak_vogels</t>
  </si>
  <si>
    <t>waterzone_1_veg_schade_totaal</t>
  </si>
  <si>
    <t>zichtdiepte</t>
  </si>
  <si>
    <t>n_soorten_sub_zone1</t>
  </si>
  <si>
    <t>aantal submerse soorten (zone 1)</t>
  </si>
  <si>
    <t>berekend obv vegetatie vera</t>
  </si>
  <si>
    <t>vegetatie_vera</t>
  </si>
  <si>
    <t>n_soorten_oev_zone2</t>
  </si>
  <si>
    <t>aantal oeversoorten (zone 2)</t>
  </si>
  <si>
    <t>n_soorten_oev_zone2a</t>
  </si>
  <si>
    <t>aantal oeversoorten (zone 2a)</t>
  </si>
  <si>
    <t>n_soorten_oev_zone2b</t>
  </si>
  <si>
    <t>aantal oeversoorten (zone 2b)</t>
  </si>
  <si>
    <t>holleoever1</t>
  </si>
  <si>
    <t>holleoever2</t>
  </si>
  <si>
    <t>holleoever3</t>
  </si>
  <si>
    <t>holleoever4</t>
  </si>
  <si>
    <t>holleoever5</t>
  </si>
  <si>
    <t>uitraster_perc</t>
  </si>
  <si>
    <t>uitraster_afstand_sloot_m</t>
  </si>
  <si>
    <t>afscheur_veg_lengte_perc</t>
  </si>
  <si>
    <t>afscheur_veg_breedte_cm</t>
  </si>
  <si>
    <t>beheersporen_water1_2a_hoeveel</t>
  </si>
  <si>
    <t>beheersporen_oever2b_3_hoeveel</t>
  </si>
  <si>
    <t>peilsporen_hoeveel</t>
  </si>
  <si>
    <t>drglg_2</t>
  </si>
  <si>
    <t>drooglegging maximale hoogte profiel (m)</t>
  </si>
  <si>
    <t>indringingsweerstand_min</t>
  </si>
  <si>
    <t>minimum indringsweerstand binnen diepteinterval (mPa)</t>
  </si>
  <si>
    <t>diepte_min_weerstand</t>
  </si>
  <si>
    <t>diepte waarop indringsweerstand minimaal is (m)</t>
  </si>
  <si>
    <t>N_mineraal_OR_25</t>
  </si>
  <si>
    <t>Nmin</t>
  </si>
  <si>
    <t>N_mineraal_SB</t>
  </si>
  <si>
    <t>oever_[0,15]</t>
  </si>
  <si>
    <t>indringingsweerstand oever_(0,15] (mPa)</t>
  </si>
  <si>
    <t>oever_(15,40]</t>
  </si>
  <si>
    <t>indringingsweerstand oever_(15,40] (mPa)</t>
  </si>
  <si>
    <t>oever_(40,85]</t>
  </si>
  <si>
    <t>indringingsweerstand oever_(40,85] (mPa)</t>
  </si>
  <si>
    <t>aantal_soorten_totaal​</t>
  </si>
  <si>
    <t>alle unieke soorten die zijn gevonden in zone 1 en 2. In het geval dat een soort in beide soorten is aangetroffen, dan wordt de regel met de hoogste abundantie meegenomen. Bij gelijke abundanties, wordt de eerste regel meegenomen.​</t>
  </si>
  <si>
    <t>Totaal aantal soorten</t>
  </si>
  <si>
    <t>aantal_waterplanten_totaal​</t>
  </si>
  <si>
    <t>alle unieke waterplanten die zijn gevonden in zone 1 en 2. Een soort wordt als waterplant getypeerd wanneer: submerse groeivorm + In_bodem_wortelend_drijfblad_groeivorm + kroos &gt; 0​</t>
  </si>
  <si>
    <t>Totaal aantal waterplanten</t>
  </si>
  <si>
    <t>aantal_oeverplanten_totaal​</t>
  </si>
  <si>
    <t>alle unieke oeverplanten die zijn gevonden in zone 1 en 2. Een soort wordt als oeverplant getypeerd wanneer: Emerse_groeivorm + op de oever_groeivorm = 100​</t>
  </si>
  <si>
    <t>Totaal aantal oeverplanten</t>
  </si>
  <si>
    <t>aantal_droge_soorten_totaal​</t>
  </si>
  <si>
    <t>alle unieke soorten die getypeerd zijn als 'drogere soort'​</t>
  </si>
  <si>
    <t>Totaal aantal droge soorten</t>
  </si>
  <si>
    <t>aandeel_droge_soorten_abun_totaal​</t>
  </si>
  <si>
    <t>som abundantie droge soorten / som abundantie alle soorten​</t>
  </si>
  <si>
    <t>Aandeel abundantie droge soorten</t>
  </si>
  <si>
    <t>shannon_index_totaal​</t>
  </si>
  <si>
    <r>
      <t xml:space="preserve">voor alle soorten: </t>
    </r>
    <r>
      <rPr>
        <sz val="10.5"/>
        <color rgb="FF000000"/>
        <rFont val="Aptos"/>
        <family val="2"/>
      </rPr>
      <t xml:space="preserve">-sum(  (abundance / sum(abundance)) * LOG((abundance / sum(abundance))) ) </t>
    </r>
    <r>
      <rPr>
        <sz val="10.5"/>
        <color rgb="FF000000"/>
        <rFont val="Aptos"/>
        <family val="2"/>
      </rPr>
      <t>​</t>
    </r>
  </si>
  <si>
    <t>Shannon index Totaal</t>
  </si>
  <si>
    <t>aantal_soorten_zone_1​</t>
  </si>
  <si>
    <t>alle unieke soorten die zijn gevonden in zone 1. ​</t>
  </si>
  <si>
    <t>Aantal soorten in waterzone</t>
  </si>
  <si>
    <t>aantal_waterplanten_zone_1​</t>
  </si>
  <si>
    <t>alle unieke waterplanten die zijn gevonden in zone 1. Een soort wordt als waterplant getypeerd wanneer: submerse groeivorm + In_bodem_wortelend_drijfblad_groeivorm + kroos &gt; 0​</t>
  </si>
  <si>
    <t>Aantal waterplanten in waterzone</t>
  </si>
  <si>
    <t>aantal_oeverplanten_zone_1​</t>
  </si>
  <si>
    <t>alle unieke oeverplanten die zijn gevonden in zone 1. Een soort wordt als oeverplant getypeerd wanneer: Emerse_groeivorm + op de oever_groeivorm = 100​</t>
  </si>
  <si>
    <t>Aantal oeverplanten in waterzone</t>
  </si>
  <si>
    <t>aantal_droge_soorten_zone_1​</t>
  </si>
  <si>
    <t>alle unieke soorten in zone 1 die getypeerd zijn als 'drogere soort'​</t>
  </si>
  <si>
    <t>Aantal droge soorten in waterzone</t>
  </si>
  <si>
    <t>aandeel_droge_soorten_abun_zone_1​</t>
  </si>
  <si>
    <t>voor zone 1: som abundantie droge soorten / som abundantie alle soorten​</t>
  </si>
  <si>
    <t>Aandeel abundantie droge soorten in waterzone</t>
  </si>
  <si>
    <t>shannon_index_zone_1​</t>
  </si>
  <si>
    <r>
      <t xml:space="preserve">voor zone 1: </t>
    </r>
    <r>
      <rPr>
        <sz val="10.5"/>
        <color rgb="FF000000"/>
        <rFont val="Aptos"/>
        <family val="2"/>
      </rPr>
      <t xml:space="preserve">-sum(  (abundance / sum(abundance)) * LOG((abundance / sum(abundance))) ) </t>
    </r>
    <r>
      <rPr>
        <sz val="10.5"/>
        <color rgb="FF000000"/>
        <rFont val="Aptos"/>
        <family val="2"/>
      </rPr>
      <t>​</t>
    </r>
  </si>
  <si>
    <t>Shannon index waterzone</t>
  </si>
  <si>
    <t>aantal_soorten_zone_2​</t>
  </si>
  <si>
    <t>alle unieke soorten die zijn gevonden in zone 2. ​</t>
  </si>
  <si>
    <t>Aantal soorten in oeverzone</t>
  </si>
  <si>
    <t>aantal_waterplanten_zone_2​</t>
  </si>
  <si>
    <t>alle unieke waterplanten die zijn gevonden in zone 2. Een soort wordt als waterplant getypeerd wanneer: submerse groeivorm + In_bodem_wortelend_drijfblad_groeivorm + kroos &gt; 0​</t>
  </si>
  <si>
    <t>Aantal waterplanten in oeverzone</t>
  </si>
  <si>
    <t>aantal_oeverplanten_zone_2​</t>
  </si>
  <si>
    <t>alle unieke oeverplanten die zijn gevonden in zone 2. Een soort wordt als oeverplant getypeerd wanneer: Emerse_groeivorm + op de oever_groeivorm = 100​</t>
  </si>
  <si>
    <t>Aantal oeverplanten in oeverzone</t>
  </si>
  <si>
    <t>aantal_droge_soorten_zone_2​</t>
  </si>
  <si>
    <t>alle unieke soorten in zone 2 die getypeerd zijn als 'drogere soort'​</t>
  </si>
  <si>
    <t>Aantal droge soorten in oeverzone</t>
  </si>
  <si>
    <t>aandeel_droge_soorten_abun_zone_2​</t>
  </si>
  <si>
    <t>voor zone 2: som abundantie droge soorten / som abundantie alle soorten​</t>
  </si>
  <si>
    <t>Aandeel abundantie droge soorten in oeverzone</t>
  </si>
  <si>
    <t>shannon_index_zone_2</t>
  </si>
  <si>
    <t>voor zone 2: -sum( (abundance / sum(abundance)) * LOG((abundance / sum(abundance))) )​</t>
  </si>
  <si>
    <t>Shannon index oeverzone</t>
  </si>
  <si>
    <t>kraggenvorming</t>
  </si>
  <si>
    <t>%kraggen 2b * breedte 2b + %kraggen 2a * breedte 2a</t>
  </si>
  <si>
    <t>Kraggenvorming</t>
  </si>
  <si>
    <r>
      <t>Type data</t>
    </r>
    <r>
      <rPr>
        <b/>
        <sz val="11"/>
        <color theme="0"/>
        <rFont val="Calibri"/>
        <family val="2"/>
      </rPr>
      <t xml:space="preserve">↓ </t>
    </r>
    <r>
      <rPr>
        <b/>
        <sz val="11"/>
        <color theme="0"/>
        <rFont val="Calibri"/>
        <family val="2"/>
        <scheme val="minor"/>
      </rPr>
      <t xml:space="preserve">  |   Meetmoment </t>
    </r>
    <r>
      <rPr>
        <b/>
        <sz val="11"/>
        <color theme="0"/>
        <rFont val="Calibri"/>
        <family val="2"/>
      </rPr>
      <t>→</t>
    </r>
  </si>
  <si>
    <t>0-meting zomer 2024</t>
  </si>
  <si>
    <t>quickscan Floris winter 2024/2025</t>
  </si>
  <si>
    <t>ruwe opname zomer 2025</t>
  </si>
  <si>
    <t>quickscan Floris winter 2025/2026</t>
  </si>
  <si>
    <t>opname zomer 2026</t>
  </si>
  <si>
    <t>Gemeten in WP1 sloten (1x 2024-25)</t>
  </si>
  <si>
    <t>Groeivormen per zone</t>
  </si>
  <si>
    <t>elk traject</t>
  </si>
  <si>
    <t>Dominante plantensoort per zone</t>
  </si>
  <si>
    <t>elke sloot</t>
  </si>
  <si>
    <t>Complete soortopname zone 1+2</t>
  </si>
  <si>
    <t>elk gebied</t>
  </si>
  <si>
    <t>ODK-vegetatie</t>
  </si>
  <si>
    <t>niet gemeten</t>
  </si>
  <si>
    <t>beheer-enquête</t>
  </si>
  <si>
    <t xml:space="preserve">alleen wp1 </t>
  </si>
  <si>
    <t>ODK-quickscan Floris</t>
  </si>
  <si>
    <t>ODK-abiotiek</t>
  </si>
  <si>
    <t>alleen wp2</t>
  </si>
  <si>
    <t>draagkracht met penetrometer</t>
  </si>
  <si>
    <t>dwarsprofiel oever en sloot</t>
  </si>
  <si>
    <t>half dwarsproefiel een oever en armlengte sloot</t>
  </si>
  <si>
    <t>oppervlaktewaterkwalietit</t>
  </si>
  <si>
    <t>slibkwaliteit</t>
  </si>
  <si>
    <t>bodemkwaliteit oever</t>
  </si>
  <si>
    <t>bodemprofiel, met veraarde toplaag</t>
  </si>
  <si>
    <t>Selectie data</t>
  </si>
  <si>
    <t>Aggregatie</t>
  </si>
  <si>
    <t>Fingerprint analyse slib en oever op twee diepten</t>
  </si>
  <si>
    <t>Datavisualisatie - status sloot</t>
  </si>
  <si>
    <t>Alle WP1 + Referentiesloten/ selectiesloten WP2</t>
  </si>
  <si>
    <t>Eenmalige inventarisatie WP1 24 en 25 en WP2 in 25</t>
  </si>
  <si>
    <t>perceelsoppervlak/(natte omtrek/2)</t>
  </si>
  <si>
    <t>omtrek_nat</t>
  </si>
  <si>
    <t>omtrek_length</t>
  </si>
  <si>
    <t>GEOMETRIE_Area</t>
  </si>
  <si>
    <t>omtrek perceel</t>
  </si>
  <si>
    <t xml:space="preserve">omtrek perceel nat </t>
  </si>
  <si>
    <t>oppervlak perceel</t>
  </si>
  <si>
    <t>m2</t>
  </si>
  <si>
    <t>natte omtreklengte</t>
  </si>
  <si>
    <t>omtreklengte</t>
  </si>
  <si>
    <t>oppervlak</t>
  </si>
  <si>
    <t>Opmerking</t>
  </si>
  <si>
    <t>Schatting en niet meenemen voor openbaar. Watbte is nauwkeuriger</t>
  </si>
  <si>
    <t>koeien_drinken_correctie</t>
  </si>
  <si>
    <t>koebelasting_drinkende_koeien</t>
  </si>
  <si>
    <t>Koebelasting drinkende koeien</t>
  </si>
  <si>
    <t>mineraal stikstof slib (calciumchloride)</t>
  </si>
  <si>
    <t>mineraal stikstof oeverdiepe 25-50 (calciumchloride)</t>
  </si>
  <si>
    <t>mineraal stikstof oever 0-25 (calciumchloride)</t>
  </si>
  <si>
    <t>obv calciumchloride NH4, NO3 en NO2</t>
  </si>
  <si>
    <t>berekend/ calciumchloride</t>
  </si>
  <si>
    <t>vargroup</t>
  </si>
  <si>
    <t>Nmin_OR_CC_50</t>
  </si>
  <si>
    <t>aantal_soorten</t>
  </si>
  <si>
    <t>Abundantie groeivormen macrofyten</t>
  </si>
  <si>
    <t>afr_raw</t>
  </si>
  <si>
    <t>afscheur_opp</t>
  </si>
  <si>
    <t>afscheur_veg_breedte_cm_slootid</t>
  </si>
  <si>
    <t>afscheur_veg_lengte_perc_slootid</t>
  </si>
  <si>
    <t>ANLB_sloot_baggerpomp</t>
  </si>
  <si>
    <t>ANLB_sloot_ecologisch_slootschonen</t>
  </si>
  <si>
    <t>ANLB_sloot_verhoogd_slootpeil</t>
  </si>
  <si>
    <t>Baggermoment_herfst</t>
  </si>
  <si>
    <t>Baggermoment_lente</t>
  </si>
  <si>
    <t>Baggermoment_zomer</t>
  </si>
  <si>
    <t>beheersporen_oever2b_3_hoeveel_slootid</t>
  </si>
  <si>
    <t>beheersporen_water1_2a_hoeveel_slootid</t>
  </si>
  <si>
    <t>bodemdiepte1_mid_cm</t>
  </si>
  <si>
    <t>bodemdiepte2_mid_cm</t>
  </si>
  <si>
    <t>bodemdiepte3_mid_cm</t>
  </si>
  <si>
    <t>bodemmonster_oever2b3_boven_subsamples</t>
  </si>
  <si>
    <t>bodemmonster_oeverzone2b3_diep_subsamples</t>
  </si>
  <si>
    <t>bodemmonster_oeverzone2b3_subsamples</t>
  </si>
  <si>
    <t>bodemmonster_water_subsamples</t>
  </si>
  <si>
    <t>Breedte_bemestingsvrije_zone_huidig_m</t>
  </si>
  <si>
    <t>Breedte_bemestingsvrije_zone_voor2023_m</t>
  </si>
  <si>
    <t>Cl_mg_l_OW</t>
  </si>
  <si>
    <t>Cl_mg_l_PW</t>
  </si>
  <si>
    <t>correction_factor_OR_25</t>
  </si>
  <si>
    <t>correction_factor_OR_50</t>
  </si>
  <si>
    <t>correction_factor_SB</t>
  </si>
  <si>
    <t>dkvalg</t>
  </si>
  <si>
    <t>doorzicht1_mid_cm</t>
  </si>
  <si>
    <t>doorzicht3_mid_cm</t>
  </si>
  <si>
    <t>draagkracht_insteek</t>
  </si>
  <si>
    <t>draagkracht_perceel_diep</t>
  </si>
  <si>
    <t>EKR_score</t>
  </si>
  <si>
    <t>erosie_afscheur_norm</t>
  </si>
  <si>
    <t>erosie_draagkracht_perceel_diep_norm</t>
  </si>
  <si>
    <t>erosie_emers2a_norm</t>
  </si>
  <si>
    <t>erosie_kragg_factor</t>
  </si>
  <si>
    <t>erosie_onderholling_norm</t>
  </si>
  <si>
    <t>erosie_wtd_slib_norm</t>
  </si>
  <si>
    <t>erosieindex</t>
  </si>
  <si>
    <t>feP_CC_OR_25</t>
  </si>
  <si>
    <t>feP_CC_OR_50</t>
  </si>
  <si>
    <t>feP_CC_SB</t>
  </si>
  <si>
    <t>feP_XRF_OR_25</t>
  </si>
  <si>
    <t>feP_XRF_OR_50</t>
  </si>
  <si>
    <t>feP_XRF_SB</t>
  </si>
  <si>
    <t>feS_CC_OR_25</t>
  </si>
  <si>
    <t>feS_CC_OR_50</t>
  </si>
  <si>
    <t>feS_CC_SB</t>
  </si>
  <si>
    <t>feS_XRF_OR_25</t>
  </si>
  <si>
    <t>feS_XRF_OR_50</t>
  </si>
  <si>
    <t>feS_XRF_SB</t>
  </si>
  <si>
    <t>Fluctuatie_waterpeilen_per_jaar_schatting_cm</t>
  </si>
  <si>
    <t>Frequentie_verwijderen_planten_sloot_per_jaar</t>
  </si>
  <si>
    <t>Functie_sloot_aanvoer</t>
  </si>
  <si>
    <t>Functie_sloot_afvoer</t>
  </si>
  <si>
    <t>hgt_wl_oever</t>
  </si>
  <si>
    <t>Hoeveel_jaar_deze_wijze_van_oeverbeheer</t>
  </si>
  <si>
    <t>Hoeveel_jaar_deze_wijze_van_slootbeheer</t>
  </si>
  <si>
    <t>indicator_abundance</t>
  </si>
  <si>
    <t>indicator_score</t>
  </si>
  <si>
    <t>insteek_(15,40]</t>
  </si>
  <si>
    <t>insteek_(40,85]</t>
  </si>
  <si>
    <t>insteek_[0,15]</t>
  </si>
  <si>
    <t>Maaimaanden_oever_herfst</t>
  </si>
  <si>
    <t>Maaimaanden_oever_lente</t>
  </si>
  <si>
    <t>Maaimaanden_oever_winter</t>
  </si>
  <si>
    <t>Maaimaanden_oever_zomer</t>
  </si>
  <si>
    <t>Maaimaanden_sloot_herfst</t>
  </si>
  <si>
    <t>Maaimaanden_sloot_winter</t>
  </si>
  <si>
    <t>Maaimaanden_sloot_zomer</t>
  </si>
  <si>
    <t>Maaimachine_oever_reguliere_maaimachine</t>
  </si>
  <si>
    <t>Maaiveld_niveau_m_NAP</t>
  </si>
  <si>
    <t>monsterdiepte_OR_25</t>
  </si>
  <si>
    <t>monsterdiepte_OR_50</t>
  </si>
  <si>
    <t>N_mineraal_OR_50</t>
  </si>
  <si>
    <t>oeverindex</t>
  </si>
  <si>
    <t>oevervorm_grillig_norm</t>
  </si>
  <si>
    <t>oevervorm_talud_norm</t>
  </si>
  <si>
    <t>oevervormindex</t>
  </si>
  <si>
    <t>oeverzone_2a_emers_m2</t>
  </si>
  <si>
    <t>oeverzone_2b_emers_m2</t>
  </si>
  <si>
    <t>ondergrondse_drainage_drainagebuis_greppel</t>
  </si>
  <si>
    <t>ondergrondse_drainage_niet_zichtbaar</t>
  </si>
  <si>
    <t>peilsporen_hoeveel_slootid</t>
  </si>
  <si>
    <t>peneterometer_subsamples</t>
  </si>
  <si>
    <t>perceel_(15,40]</t>
  </si>
  <si>
    <t>perceel_(40,85]</t>
  </si>
  <si>
    <t>perceel_[0,15]</t>
  </si>
  <si>
    <t>porievochtmonster_subsamples</t>
  </si>
  <si>
    <t>profiel_subsamples</t>
  </si>
  <si>
    <t>Snelheid_terugkeer_5_10cm_bagger_maanden</t>
  </si>
  <si>
    <t>soorten_score</t>
  </si>
  <si>
    <t>Soortensamenstelling Helofyten</t>
  </si>
  <si>
    <t>Soortensamenstelling Hydrofyten</t>
  </si>
  <si>
    <t>Soortensamenstelling Macrofyten</t>
  </si>
  <si>
    <t>stabiliteit_draagkracht_oever_norm</t>
  </si>
  <si>
    <t>stikstof</t>
  </si>
  <si>
    <t>stikstof_score</t>
  </si>
  <si>
    <t>structuur</t>
  </si>
  <si>
    <t>structuur_score</t>
  </si>
  <si>
    <t>Type_meststoffen_gebruikt_drijfmest</t>
  </si>
  <si>
    <t>Type_meststoffen_gebruikt_kunstmest</t>
  </si>
  <si>
    <t>Type_meststoffen_gebruikt_vastemest</t>
  </si>
  <si>
    <t>uitraster_afstand_sloot_m_slootid</t>
  </si>
  <si>
    <t>uitraster_perc_slootid</t>
  </si>
  <si>
    <t>vernatting_emers2b_norm</t>
  </si>
  <si>
    <t>vernatting_kaal_gras_norm</t>
  </si>
  <si>
    <t>vernatting_kaal_gras_perc</t>
  </si>
  <si>
    <t>vernatting_steilte_norm</t>
  </si>
  <si>
    <t>vernattingsrisico_index</t>
  </si>
  <si>
    <t>waterdiepte1_mid_cm</t>
  </si>
  <si>
    <t>waterdiepte2_mid_cm</t>
  </si>
  <si>
    <t>waterdiepte3_mid_cm</t>
  </si>
  <si>
    <t>watermonster_subsamples</t>
  </si>
  <si>
    <t>Welke_machines_oever_schudder_harker</t>
  </si>
  <si>
    <t>wl</t>
  </si>
  <si>
    <t>Zomerdrooglegging_m_NOBV</t>
  </si>
  <si>
    <t>Zomerpeil_m_NAP</t>
  </si>
  <si>
    <t>vegetatie_toets</t>
  </si>
  <si>
    <t>overig</t>
  </si>
  <si>
    <t>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</si>
</sst>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u/>
      <sz val="10"/>
      <color indexed="81"/>
      <name val="Tahoma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.5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0" borderId="2" xfId="0" applyBorder="1"/>
    <xf numFmtId="0" fontId="1" fillId="2" borderId="2" xfId="0" applyFon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5" xfId="0" applyFont="1" applyFill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vertical="justify"/>
    </xf>
    <xf numFmtId="0" fontId="2" fillId="0" borderId="0" xfId="0" applyFont="1" applyAlignment="1">
      <alignment vertical="justify"/>
    </xf>
    <xf numFmtId="0" fontId="8" fillId="0" borderId="0" xfId="0" applyFont="1"/>
    <xf numFmtId="0" fontId="0" fillId="5" borderId="9" xfId="0" applyFill="1" applyBorder="1"/>
    <xf numFmtId="0" fontId="0" fillId="5" borderId="0" xfId="0" applyFill="1"/>
    <xf numFmtId="0" fontId="0" fillId="5" borderId="10" xfId="0" applyFill="1" applyBorder="1"/>
    <xf numFmtId="0" fontId="8" fillId="5" borderId="0" xfId="0" applyFont="1" applyFill="1"/>
    <xf numFmtId="0" fontId="9" fillId="0" borderId="11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0" fillId="0" borderId="0" xfId="0" applyBorder="1"/>
    <xf numFmtId="0" fontId="0" fillId="0" borderId="0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ura Moria" id="{1141618D-5F6E-4FD1-BF8D-061E0A665305}" userId="S::laura.moria@nmi-agro.nl::515352cb-c7aa-4301-90e5-162a3c8d4b80" providerId="AD"/>
</personList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5-11-21T09:23:10.51" personId="{1141618D-5F6E-4FD1-BF8D-061E0A665305}" id="{6D48D38C-160E-4C79-B6E2-C148E2D053D3}">
    <text>Klimaat/ methaanemissies slib
Stevige oevers (draagkracht, geen onderholling/ erosie)
Agrarische gebruikswaarde (draagkracht/ oppervlak)
Biodiversiteit oevers
Ecologische waterkwaliteit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3" dT="2025-11-21T09:18:02.02" personId="{1141618D-5F6E-4FD1-BF8D-061E0A665305}" id="{7F8BEB08-49F3-4016-87DD-B49C9A408407}">
    <text>Een monster wanneer trajecten aan weerzijde oever liggen</text>
  </threadedComment>
  <threadedComment ref="D13" dT="2025-11-21T09:18:02.02" personId="{1141618D-5F6E-4FD1-BF8D-061E0A665305}" id="{5F47E3FF-928E-4FF4-B261-B762A13ECE1F}">
    <text>Een monster wanneer trajecten aan weerzijde oever liggen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5-11-21T09:23:10.51" personId="{1141618D-5F6E-4FD1-BF8D-061E0A665305}" id="{DE473038-8ED4-4F74-9912-29160CDB9DDE}">
    <text>Klimaat/ methaanemissies slib
Stevige oevers (draagkracht, geen onderholling/ erosie)
Agrarische gebruikswaarde (draagkracht/ oppervlak)
Biodiversiteit oevers
Ecologische waterkwaliteit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4"/>
  <sheetViews>
    <sheetView tabSelected="1" workbookViewId="0">
      <pane ySplit="1" topLeftCell="A751" activePane="bottomLeft" state="frozen"/>
      <selection pane="bottomLeft" activeCell="J776" sqref="J776"/>
    </sheetView>
  </sheetViews>
  <sheetFormatPr defaultRowHeight="14.4" x14ac:dyDescent="0.55000000000000004"/>
  <cols>
    <col min="1" max="1" width="34.5234375" style="13" customWidth="1"/>
    <col min="3" max="3" width="9.68359375" customWidth="1"/>
    <col min="4" max="5" width="5" customWidth="1"/>
    <col min="6" max="6" width="7.68359375" customWidth="1"/>
    <col min="7" max="7" width="8.1015625" customWidth="1"/>
    <col min="8" max="8" width="12.15625" customWidth="1"/>
    <col min="9" max="9" width="17.20703125" style="14" customWidth="1"/>
    <col min="10" max="10" width="42.20703125" style="25" customWidth="1"/>
    <col min="11" max="11" width="15.41796875" customWidth="1"/>
    <col min="12" max="12" width="12" customWidth="1"/>
    <col min="13" max="13" width="14.20703125" customWidth="1"/>
    <col min="14" max="14" width="13.5234375" customWidth="1"/>
    <col min="15" max="15" width="10.68359375" customWidth="1"/>
    <col min="16" max="16" width="11.7890625" customWidth="1"/>
    <col min="18" max="18" width="7.5234375" customWidth="1"/>
    <col min="19" max="19" width="14" customWidth="1"/>
  </cols>
  <sheetData>
    <row r="1" spans="1:17" x14ac:dyDescent="0.5500000000000000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26" t="s">
        <v>1700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1690</v>
      </c>
    </row>
    <row r="2" spans="1:17" x14ac:dyDescent="0.55000000000000004">
      <c r="A2" s="10" t="s">
        <v>15</v>
      </c>
      <c r="B2" s="11" t="s">
        <v>16</v>
      </c>
      <c r="C2" s="11" t="s">
        <v>17</v>
      </c>
      <c r="D2" s="11" t="s">
        <v>18</v>
      </c>
      <c r="E2" s="11"/>
      <c r="F2" s="11" t="s">
        <v>19</v>
      </c>
      <c r="G2" s="11" t="s">
        <v>20</v>
      </c>
      <c r="H2" s="11"/>
      <c r="I2" s="12" t="s">
        <v>21</v>
      </c>
      <c r="J2" s="25" t="s">
        <v>1468</v>
      </c>
    </row>
    <row r="3" spans="1:17" x14ac:dyDescent="0.55000000000000004">
      <c r="A3" s="13" t="s">
        <v>22</v>
      </c>
      <c r="B3" t="s">
        <v>23</v>
      </c>
      <c r="C3" t="s">
        <v>17</v>
      </c>
      <c r="D3" t="s">
        <v>18</v>
      </c>
      <c r="F3" t="s">
        <v>19</v>
      </c>
      <c r="G3" t="s">
        <v>20</v>
      </c>
      <c r="I3" s="14" t="s">
        <v>24</v>
      </c>
      <c r="J3" s="25" t="s">
        <v>1468</v>
      </c>
    </row>
    <row r="4" spans="1:17" x14ac:dyDescent="0.55000000000000004">
      <c r="A4" s="13" t="s">
        <v>25</v>
      </c>
      <c r="B4" t="s">
        <v>16</v>
      </c>
      <c r="C4" t="s">
        <v>26</v>
      </c>
      <c r="D4" t="s">
        <v>18</v>
      </c>
      <c r="F4" t="s">
        <v>27</v>
      </c>
      <c r="G4" t="s">
        <v>20</v>
      </c>
      <c r="I4" s="14" t="s">
        <v>28</v>
      </c>
      <c r="J4" s="25" t="s">
        <v>1468</v>
      </c>
    </row>
    <row r="5" spans="1:17" x14ac:dyDescent="0.55000000000000004">
      <c r="A5" s="13" t="s">
        <v>29</v>
      </c>
      <c r="B5" t="s">
        <v>23</v>
      </c>
      <c r="C5" t="s">
        <v>26</v>
      </c>
      <c r="D5" t="s">
        <v>18</v>
      </c>
      <c r="F5" t="s">
        <v>27</v>
      </c>
      <c r="G5" t="s">
        <v>20</v>
      </c>
      <c r="I5" s="14" t="s">
        <v>30</v>
      </c>
      <c r="J5" s="25" t="s">
        <v>1468</v>
      </c>
    </row>
    <row r="6" spans="1:17" x14ac:dyDescent="0.55000000000000004">
      <c r="A6" s="13" t="s">
        <v>31</v>
      </c>
      <c r="B6" t="s">
        <v>16</v>
      </c>
      <c r="C6" t="s">
        <v>32</v>
      </c>
      <c r="D6" t="s">
        <v>18</v>
      </c>
      <c r="F6" t="s">
        <v>33</v>
      </c>
      <c r="G6" t="s">
        <v>20</v>
      </c>
      <c r="I6" s="14" t="s">
        <v>34</v>
      </c>
      <c r="J6" s="25" t="s">
        <v>1468</v>
      </c>
    </row>
    <row r="7" spans="1:17" x14ac:dyDescent="0.55000000000000004">
      <c r="A7" s="13" t="s">
        <v>35</v>
      </c>
      <c r="B7" t="s">
        <v>23</v>
      </c>
      <c r="C7" t="s">
        <v>32</v>
      </c>
      <c r="D7" t="s">
        <v>18</v>
      </c>
      <c r="F7" t="s">
        <v>33</v>
      </c>
      <c r="G7" t="s">
        <v>20</v>
      </c>
      <c r="I7" s="14" t="s">
        <v>36</v>
      </c>
      <c r="J7" s="25" t="s">
        <v>1468</v>
      </c>
    </row>
    <row r="8" spans="1:17" x14ac:dyDescent="0.55000000000000004">
      <c r="A8" s="13" t="s">
        <v>37</v>
      </c>
      <c r="B8" t="s">
        <v>16</v>
      </c>
      <c r="C8" t="s">
        <v>38</v>
      </c>
      <c r="D8" t="s">
        <v>18</v>
      </c>
      <c r="F8" t="s">
        <v>27</v>
      </c>
      <c r="G8" t="s">
        <v>20</v>
      </c>
      <c r="I8" s="14" t="s">
        <v>39</v>
      </c>
      <c r="J8" s="25" t="s">
        <v>1468</v>
      </c>
    </row>
    <row r="9" spans="1:17" x14ac:dyDescent="0.55000000000000004">
      <c r="A9" s="13" t="s">
        <v>40</v>
      </c>
      <c r="B9" t="s">
        <v>23</v>
      </c>
      <c r="C9" t="s">
        <v>38</v>
      </c>
      <c r="D9" t="s">
        <v>18</v>
      </c>
      <c r="F9" t="s">
        <v>27</v>
      </c>
      <c r="G9" t="s">
        <v>20</v>
      </c>
      <c r="I9" s="14" t="s">
        <v>41</v>
      </c>
      <c r="J9" s="25" t="s">
        <v>1468</v>
      </c>
    </row>
    <row r="10" spans="1:17" x14ac:dyDescent="0.55000000000000004">
      <c r="A10" s="13" t="s">
        <v>42</v>
      </c>
      <c r="B10" t="s">
        <v>16</v>
      </c>
      <c r="C10" t="s">
        <v>43</v>
      </c>
      <c r="D10" t="s">
        <v>18</v>
      </c>
      <c r="F10" t="s">
        <v>44</v>
      </c>
      <c r="G10" t="s">
        <v>20</v>
      </c>
      <c r="I10" s="14" t="s">
        <v>45</v>
      </c>
      <c r="J10" s="25" t="s">
        <v>1468</v>
      </c>
    </row>
    <row r="11" spans="1:17" x14ac:dyDescent="0.55000000000000004">
      <c r="A11" s="13" t="s">
        <v>46</v>
      </c>
      <c r="B11" t="s">
        <v>23</v>
      </c>
      <c r="C11" t="s">
        <v>43</v>
      </c>
      <c r="D11" t="s">
        <v>18</v>
      </c>
      <c r="F11" t="s">
        <v>44</v>
      </c>
      <c r="G11" t="s">
        <v>20</v>
      </c>
      <c r="I11" s="14" t="s">
        <v>47</v>
      </c>
      <c r="J11" s="25" t="s">
        <v>1468</v>
      </c>
    </row>
    <row r="12" spans="1:17" x14ac:dyDescent="0.55000000000000004">
      <c r="A12" s="13" t="s">
        <v>48</v>
      </c>
      <c r="B12" t="s">
        <v>16</v>
      </c>
      <c r="C12" t="s">
        <v>49</v>
      </c>
      <c r="D12" t="s">
        <v>18</v>
      </c>
      <c r="F12" t="s">
        <v>27</v>
      </c>
      <c r="G12" t="s">
        <v>20</v>
      </c>
      <c r="I12" s="14" t="s">
        <v>50</v>
      </c>
      <c r="J12" s="25" t="s">
        <v>1468</v>
      </c>
    </row>
    <row r="13" spans="1:17" x14ac:dyDescent="0.55000000000000004">
      <c r="A13" s="13" t="s">
        <v>51</v>
      </c>
      <c r="B13" t="s">
        <v>23</v>
      </c>
      <c r="C13" t="s">
        <v>49</v>
      </c>
      <c r="D13" t="s">
        <v>18</v>
      </c>
      <c r="F13" t="s">
        <v>27</v>
      </c>
      <c r="G13" t="s">
        <v>20</v>
      </c>
      <c r="I13" s="14" t="s">
        <v>52</v>
      </c>
      <c r="J13" s="25" t="s">
        <v>1468</v>
      </c>
    </row>
    <row r="14" spans="1:17" x14ac:dyDescent="0.55000000000000004">
      <c r="A14" s="13" t="s">
        <v>53</v>
      </c>
      <c r="B14" t="s">
        <v>16</v>
      </c>
      <c r="C14" t="s">
        <v>54</v>
      </c>
      <c r="D14" t="s">
        <v>18</v>
      </c>
      <c r="F14" t="s">
        <v>27</v>
      </c>
      <c r="G14" t="s">
        <v>20</v>
      </c>
      <c r="I14" s="14" t="s">
        <v>55</v>
      </c>
      <c r="J14" s="25" t="s">
        <v>1468</v>
      </c>
    </row>
    <row r="15" spans="1:17" x14ac:dyDescent="0.55000000000000004">
      <c r="A15" s="13" t="s">
        <v>56</v>
      </c>
      <c r="B15" t="s">
        <v>23</v>
      </c>
      <c r="C15" t="s">
        <v>54</v>
      </c>
      <c r="D15" t="s">
        <v>18</v>
      </c>
      <c r="F15" t="s">
        <v>27</v>
      </c>
      <c r="G15" t="s">
        <v>20</v>
      </c>
      <c r="I15" s="14" t="s">
        <v>57</v>
      </c>
      <c r="J15" s="25" t="s">
        <v>1468</v>
      </c>
    </row>
    <row r="16" spans="1:17" x14ac:dyDescent="0.55000000000000004">
      <c r="A16" s="13" t="s">
        <v>58</v>
      </c>
      <c r="B16" t="s">
        <v>16</v>
      </c>
      <c r="C16" t="s">
        <v>59</v>
      </c>
      <c r="D16" t="s">
        <v>18</v>
      </c>
      <c r="F16" t="s">
        <v>33</v>
      </c>
      <c r="G16" t="s">
        <v>20</v>
      </c>
      <c r="I16" s="14" t="s">
        <v>60</v>
      </c>
      <c r="J16" s="25" t="s">
        <v>1468</v>
      </c>
    </row>
    <row r="17" spans="1:10" x14ac:dyDescent="0.55000000000000004">
      <c r="A17" s="13" t="s">
        <v>61</v>
      </c>
      <c r="B17" t="s">
        <v>23</v>
      </c>
      <c r="C17" t="s">
        <v>59</v>
      </c>
      <c r="D17" t="s">
        <v>18</v>
      </c>
      <c r="F17" t="s">
        <v>33</v>
      </c>
      <c r="G17" t="s">
        <v>20</v>
      </c>
      <c r="I17" s="14" t="s">
        <v>62</v>
      </c>
      <c r="J17" s="25" t="s">
        <v>1468</v>
      </c>
    </row>
    <row r="18" spans="1:10" x14ac:dyDescent="0.55000000000000004">
      <c r="A18" s="13" t="s">
        <v>63</v>
      </c>
      <c r="B18" t="s">
        <v>16</v>
      </c>
      <c r="C18" t="s">
        <v>64</v>
      </c>
      <c r="D18" t="s">
        <v>18</v>
      </c>
      <c r="F18" t="s">
        <v>33</v>
      </c>
      <c r="G18" t="s">
        <v>20</v>
      </c>
      <c r="I18" s="14" t="s">
        <v>65</v>
      </c>
      <c r="J18" s="25" t="s">
        <v>1468</v>
      </c>
    </row>
    <row r="19" spans="1:10" x14ac:dyDescent="0.55000000000000004">
      <c r="A19" s="13" t="s">
        <v>66</v>
      </c>
      <c r="B19" t="s">
        <v>23</v>
      </c>
      <c r="C19" t="s">
        <v>64</v>
      </c>
      <c r="D19" t="s">
        <v>18</v>
      </c>
      <c r="F19" t="s">
        <v>33</v>
      </c>
      <c r="G19" t="s">
        <v>20</v>
      </c>
      <c r="I19" s="14" t="s">
        <v>67</v>
      </c>
      <c r="J19" s="25" t="s">
        <v>1468</v>
      </c>
    </row>
    <row r="20" spans="1:10" x14ac:dyDescent="0.55000000000000004">
      <c r="A20" s="13" t="s">
        <v>68</v>
      </c>
      <c r="B20" t="s">
        <v>16</v>
      </c>
      <c r="C20" t="s">
        <v>69</v>
      </c>
      <c r="D20" t="s">
        <v>18</v>
      </c>
      <c r="F20" t="s">
        <v>19</v>
      </c>
      <c r="G20" t="s">
        <v>20</v>
      </c>
      <c r="I20" s="14" t="s">
        <v>70</v>
      </c>
      <c r="J20" s="25" t="s">
        <v>1468</v>
      </c>
    </row>
    <row r="21" spans="1:10" x14ac:dyDescent="0.55000000000000004">
      <c r="A21" s="13" t="s">
        <v>71</v>
      </c>
      <c r="B21" t="s">
        <v>23</v>
      </c>
      <c r="C21" t="s">
        <v>69</v>
      </c>
      <c r="D21" t="s">
        <v>18</v>
      </c>
      <c r="F21" t="s">
        <v>19</v>
      </c>
      <c r="G21" t="s">
        <v>20</v>
      </c>
      <c r="I21" s="14" t="s">
        <v>72</v>
      </c>
      <c r="J21" s="25" t="s">
        <v>1468</v>
      </c>
    </row>
    <row r="22" spans="1:10" x14ac:dyDescent="0.55000000000000004">
      <c r="A22" s="13" t="s">
        <v>73</v>
      </c>
      <c r="B22" t="s">
        <v>16</v>
      </c>
      <c r="C22" t="s">
        <v>74</v>
      </c>
      <c r="D22" t="s">
        <v>18</v>
      </c>
      <c r="F22" t="s">
        <v>27</v>
      </c>
      <c r="G22" t="s">
        <v>20</v>
      </c>
      <c r="I22" s="14" t="s">
        <v>75</v>
      </c>
      <c r="J22" s="25" t="s">
        <v>1468</v>
      </c>
    </row>
    <row r="23" spans="1:10" x14ac:dyDescent="0.55000000000000004">
      <c r="A23" s="13" t="s">
        <v>76</v>
      </c>
      <c r="B23" t="s">
        <v>23</v>
      </c>
      <c r="C23" t="s">
        <v>74</v>
      </c>
      <c r="D23" t="s">
        <v>18</v>
      </c>
      <c r="F23" t="s">
        <v>27</v>
      </c>
      <c r="G23" t="s">
        <v>20</v>
      </c>
      <c r="I23" s="14" t="s">
        <v>77</v>
      </c>
      <c r="J23" s="25" t="s">
        <v>1468</v>
      </c>
    </row>
    <row r="24" spans="1:10" x14ac:dyDescent="0.55000000000000004">
      <c r="A24" s="13" t="s">
        <v>78</v>
      </c>
      <c r="B24" t="s">
        <v>16</v>
      </c>
      <c r="C24" t="s">
        <v>79</v>
      </c>
      <c r="D24" t="s">
        <v>18</v>
      </c>
      <c r="F24" t="s">
        <v>33</v>
      </c>
      <c r="G24" t="s">
        <v>20</v>
      </c>
      <c r="I24" s="14" t="s">
        <v>80</v>
      </c>
      <c r="J24" s="25" t="s">
        <v>1468</v>
      </c>
    </row>
    <row r="25" spans="1:10" x14ac:dyDescent="0.55000000000000004">
      <c r="A25" s="13" t="s">
        <v>81</v>
      </c>
      <c r="B25" t="s">
        <v>23</v>
      </c>
      <c r="C25" t="s">
        <v>79</v>
      </c>
      <c r="D25" t="s">
        <v>18</v>
      </c>
      <c r="F25" t="s">
        <v>33</v>
      </c>
      <c r="G25" t="s">
        <v>20</v>
      </c>
      <c r="I25" s="14" t="s">
        <v>82</v>
      </c>
      <c r="J25" s="25" t="s">
        <v>1468</v>
      </c>
    </row>
    <row r="26" spans="1:10" x14ac:dyDescent="0.55000000000000004">
      <c r="A26" s="13" t="s">
        <v>83</v>
      </c>
      <c r="B26" t="s">
        <v>16</v>
      </c>
      <c r="C26" t="s">
        <v>84</v>
      </c>
      <c r="D26" t="s">
        <v>18</v>
      </c>
      <c r="F26" t="s">
        <v>85</v>
      </c>
      <c r="G26" t="s">
        <v>20</v>
      </c>
      <c r="I26" s="14" t="s">
        <v>86</v>
      </c>
      <c r="J26" s="25" t="s">
        <v>1468</v>
      </c>
    </row>
    <row r="27" spans="1:10" x14ac:dyDescent="0.55000000000000004">
      <c r="A27" s="13" t="s">
        <v>87</v>
      </c>
      <c r="B27" t="s">
        <v>23</v>
      </c>
      <c r="C27" t="s">
        <v>84</v>
      </c>
      <c r="D27" t="s">
        <v>18</v>
      </c>
      <c r="F27" t="s">
        <v>85</v>
      </c>
      <c r="G27" t="s">
        <v>20</v>
      </c>
      <c r="I27" s="14" t="s">
        <v>88</v>
      </c>
      <c r="J27" s="25" t="s">
        <v>1468</v>
      </c>
    </row>
    <row r="28" spans="1:10" x14ac:dyDescent="0.55000000000000004">
      <c r="A28" s="13" t="s">
        <v>89</v>
      </c>
      <c r="B28" t="s">
        <v>90</v>
      </c>
      <c r="C28" t="s">
        <v>89</v>
      </c>
      <c r="F28" t="s">
        <v>91</v>
      </c>
      <c r="G28" t="s">
        <v>92</v>
      </c>
      <c r="I28" s="14" t="s">
        <v>93</v>
      </c>
      <c r="J28" s="25" t="s">
        <v>312</v>
      </c>
    </row>
    <row r="29" spans="1:10" x14ac:dyDescent="0.55000000000000004">
      <c r="A29" s="13" t="s">
        <v>94</v>
      </c>
      <c r="B29" t="s">
        <v>16</v>
      </c>
      <c r="C29" t="s">
        <v>95</v>
      </c>
      <c r="D29" t="s">
        <v>18</v>
      </c>
      <c r="G29" t="s">
        <v>20</v>
      </c>
      <c r="I29" s="14" t="s">
        <v>96</v>
      </c>
      <c r="J29" s="25" t="s">
        <v>1468</v>
      </c>
    </row>
    <row r="30" spans="1:10" x14ac:dyDescent="0.55000000000000004">
      <c r="A30" s="13" t="s">
        <v>97</v>
      </c>
      <c r="B30" t="s">
        <v>23</v>
      </c>
      <c r="C30" t="s">
        <v>95</v>
      </c>
      <c r="D30" t="s">
        <v>18</v>
      </c>
      <c r="G30" t="s">
        <v>20</v>
      </c>
      <c r="I30" s="14" t="s">
        <v>98</v>
      </c>
      <c r="J30" s="25" t="s">
        <v>1468</v>
      </c>
    </row>
    <row r="31" spans="1:10" x14ac:dyDescent="0.55000000000000004">
      <c r="A31" s="13" t="s">
        <v>99</v>
      </c>
      <c r="B31" t="s">
        <v>16</v>
      </c>
      <c r="C31" t="s">
        <v>100</v>
      </c>
      <c r="D31" t="s">
        <v>18</v>
      </c>
      <c r="F31" t="s">
        <v>27</v>
      </c>
      <c r="G31" t="s">
        <v>20</v>
      </c>
      <c r="I31" s="14" t="s">
        <v>101</v>
      </c>
      <c r="J31" s="25" t="s">
        <v>1468</v>
      </c>
    </row>
    <row r="32" spans="1:10" x14ac:dyDescent="0.55000000000000004">
      <c r="A32" s="13" t="s">
        <v>102</v>
      </c>
      <c r="B32" t="s">
        <v>23</v>
      </c>
      <c r="C32" t="s">
        <v>100</v>
      </c>
      <c r="D32" t="s">
        <v>18</v>
      </c>
      <c r="F32" t="s">
        <v>27</v>
      </c>
      <c r="G32" t="s">
        <v>20</v>
      </c>
      <c r="I32" s="14" t="s">
        <v>103</v>
      </c>
      <c r="J32" s="25" t="s">
        <v>1468</v>
      </c>
    </row>
    <row r="33" spans="1:10" x14ac:dyDescent="0.55000000000000004">
      <c r="A33" s="13" t="s">
        <v>104</v>
      </c>
      <c r="B33" t="s">
        <v>16</v>
      </c>
      <c r="C33" t="s">
        <v>105</v>
      </c>
      <c r="D33" t="s">
        <v>18</v>
      </c>
      <c r="F33" t="s">
        <v>27</v>
      </c>
      <c r="G33" t="s">
        <v>20</v>
      </c>
      <c r="I33" s="14" t="s">
        <v>106</v>
      </c>
      <c r="J33" s="25" t="s">
        <v>1468</v>
      </c>
    </row>
    <row r="34" spans="1:10" x14ac:dyDescent="0.55000000000000004">
      <c r="A34" s="13" t="s">
        <v>107</v>
      </c>
      <c r="B34" t="s">
        <v>23</v>
      </c>
      <c r="C34" t="s">
        <v>105</v>
      </c>
      <c r="D34" t="s">
        <v>18</v>
      </c>
      <c r="F34" t="s">
        <v>27</v>
      </c>
      <c r="G34" t="s">
        <v>20</v>
      </c>
      <c r="I34" s="14" t="s">
        <v>108</v>
      </c>
      <c r="J34" s="25" t="s">
        <v>1468</v>
      </c>
    </row>
    <row r="35" spans="1:10" x14ac:dyDescent="0.55000000000000004">
      <c r="A35" s="13" t="s">
        <v>109</v>
      </c>
      <c r="B35" t="s">
        <v>16</v>
      </c>
      <c r="C35" t="s">
        <v>110</v>
      </c>
      <c r="D35" t="s">
        <v>18</v>
      </c>
      <c r="F35" t="s">
        <v>27</v>
      </c>
      <c r="G35" t="s">
        <v>20</v>
      </c>
      <c r="I35" s="14" t="s">
        <v>111</v>
      </c>
      <c r="J35" s="25" t="s">
        <v>1468</v>
      </c>
    </row>
    <row r="36" spans="1:10" x14ac:dyDescent="0.55000000000000004">
      <c r="A36" s="13" t="s">
        <v>112</v>
      </c>
      <c r="B36" t="s">
        <v>23</v>
      </c>
      <c r="C36" t="s">
        <v>110</v>
      </c>
      <c r="D36" t="s">
        <v>18</v>
      </c>
      <c r="F36" t="s">
        <v>27</v>
      </c>
      <c r="G36" t="s">
        <v>20</v>
      </c>
      <c r="I36" s="14" t="s">
        <v>113</v>
      </c>
      <c r="J36" s="25" t="s">
        <v>1468</v>
      </c>
    </row>
    <row r="37" spans="1:10" x14ac:dyDescent="0.55000000000000004">
      <c r="A37" s="13" t="s">
        <v>114</v>
      </c>
      <c r="B37" t="s">
        <v>16</v>
      </c>
      <c r="C37" t="s">
        <v>115</v>
      </c>
      <c r="D37" t="s">
        <v>18</v>
      </c>
      <c r="F37" t="s">
        <v>27</v>
      </c>
      <c r="G37" t="s">
        <v>20</v>
      </c>
      <c r="I37" s="14" t="s">
        <v>116</v>
      </c>
      <c r="J37" s="25" t="s">
        <v>1468</v>
      </c>
    </row>
    <row r="38" spans="1:10" x14ac:dyDescent="0.55000000000000004">
      <c r="A38" s="13" t="s">
        <v>117</v>
      </c>
      <c r="B38" t="s">
        <v>23</v>
      </c>
      <c r="C38" t="s">
        <v>115</v>
      </c>
      <c r="D38" t="s">
        <v>18</v>
      </c>
      <c r="F38" t="s">
        <v>27</v>
      </c>
      <c r="G38" t="s">
        <v>20</v>
      </c>
      <c r="I38" s="14" t="s">
        <v>118</v>
      </c>
      <c r="J38" s="25" t="s">
        <v>1468</v>
      </c>
    </row>
    <row r="39" spans="1:10" x14ac:dyDescent="0.55000000000000004">
      <c r="A39" s="13" t="s">
        <v>119</v>
      </c>
      <c r="B39" t="s">
        <v>16</v>
      </c>
      <c r="C39" t="s">
        <v>120</v>
      </c>
      <c r="D39" t="s">
        <v>18</v>
      </c>
      <c r="F39" t="s">
        <v>27</v>
      </c>
      <c r="G39" t="s">
        <v>20</v>
      </c>
      <c r="I39" s="14" t="s">
        <v>121</v>
      </c>
      <c r="J39" s="25" t="s">
        <v>1468</v>
      </c>
    </row>
    <row r="40" spans="1:10" x14ac:dyDescent="0.55000000000000004">
      <c r="A40" s="13" t="s">
        <v>122</v>
      </c>
      <c r="B40" t="s">
        <v>23</v>
      </c>
      <c r="C40" t="s">
        <v>120</v>
      </c>
      <c r="D40" t="s">
        <v>18</v>
      </c>
      <c r="F40" t="s">
        <v>27</v>
      </c>
      <c r="G40" t="s">
        <v>20</v>
      </c>
      <c r="I40" s="14" t="s">
        <v>123</v>
      </c>
      <c r="J40" s="25" t="s">
        <v>1468</v>
      </c>
    </row>
    <row r="41" spans="1:10" x14ac:dyDescent="0.55000000000000004">
      <c r="A41" s="13" t="s">
        <v>124</v>
      </c>
      <c r="B41" t="s">
        <v>16</v>
      </c>
      <c r="C41" t="s">
        <v>125</v>
      </c>
      <c r="D41" t="s">
        <v>18</v>
      </c>
      <c r="F41" t="s">
        <v>126</v>
      </c>
      <c r="G41" t="s">
        <v>20</v>
      </c>
      <c r="I41" s="14" t="s">
        <v>127</v>
      </c>
      <c r="J41" s="25" t="s">
        <v>1468</v>
      </c>
    </row>
    <row r="42" spans="1:10" x14ac:dyDescent="0.55000000000000004">
      <c r="A42" s="13" t="s">
        <v>128</v>
      </c>
      <c r="B42" t="s">
        <v>23</v>
      </c>
      <c r="C42" t="s">
        <v>125</v>
      </c>
      <c r="D42" t="s">
        <v>18</v>
      </c>
      <c r="F42" t="s">
        <v>126</v>
      </c>
      <c r="G42" t="s">
        <v>20</v>
      </c>
      <c r="I42" s="14" t="s">
        <v>129</v>
      </c>
      <c r="J42" s="25" t="s">
        <v>1468</v>
      </c>
    </row>
    <row r="43" spans="1:10" x14ac:dyDescent="0.55000000000000004">
      <c r="A43" s="13" t="s">
        <v>130</v>
      </c>
      <c r="B43" t="s">
        <v>16</v>
      </c>
      <c r="C43" t="s">
        <v>131</v>
      </c>
      <c r="D43" t="s">
        <v>18</v>
      </c>
      <c r="F43" t="s">
        <v>132</v>
      </c>
      <c r="G43" t="s">
        <v>20</v>
      </c>
      <c r="I43" s="14" t="s">
        <v>133</v>
      </c>
      <c r="J43" s="25" t="s">
        <v>1468</v>
      </c>
    </row>
    <row r="44" spans="1:10" x14ac:dyDescent="0.55000000000000004">
      <c r="A44" s="13" t="s">
        <v>134</v>
      </c>
      <c r="B44" t="s">
        <v>23</v>
      </c>
      <c r="C44" t="s">
        <v>131</v>
      </c>
      <c r="D44" t="s">
        <v>18</v>
      </c>
      <c r="F44" t="s">
        <v>132</v>
      </c>
      <c r="G44" t="s">
        <v>20</v>
      </c>
      <c r="I44" s="14" t="s">
        <v>135</v>
      </c>
      <c r="J44" s="25" t="s">
        <v>1468</v>
      </c>
    </row>
    <row r="45" spans="1:10" x14ac:dyDescent="0.55000000000000004">
      <c r="A45" s="13" t="s">
        <v>136</v>
      </c>
      <c r="B45" t="s">
        <v>16</v>
      </c>
      <c r="C45" t="s">
        <v>137</v>
      </c>
      <c r="D45" t="s">
        <v>18</v>
      </c>
      <c r="F45" t="s">
        <v>138</v>
      </c>
      <c r="G45" t="s">
        <v>20</v>
      </c>
      <c r="I45" s="14" t="s">
        <v>139</v>
      </c>
      <c r="J45" s="25" t="s">
        <v>1468</v>
      </c>
    </row>
    <row r="46" spans="1:10" x14ac:dyDescent="0.55000000000000004">
      <c r="A46" s="13" t="s">
        <v>140</v>
      </c>
      <c r="B46" t="s">
        <v>23</v>
      </c>
      <c r="C46" t="s">
        <v>137</v>
      </c>
      <c r="D46" t="s">
        <v>18</v>
      </c>
      <c r="F46" t="s">
        <v>138</v>
      </c>
      <c r="G46" t="s">
        <v>20</v>
      </c>
      <c r="I46" s="14" t="s">
        <v>141</v>
      </c>
      <c r="J46" s="25" t="s">
        <v>1468</v>
      </c>
    </row>
    <row r="47" spans="1:10" x14ac:dyDescent="0.55000000000000004">
      <c r="A47" s="13" t="s">
        <v>142</v>
      </c>
      <c r="B47" t="s">
        <v>16</v>
      </c>
      <c r="C47" t="s">
        <v>143</v>
      </c>
      <c r="D47" t="s">
        <v>18</v>
      </c>
      <c r="F47" t="s">
        <v>27</v>
      </c>
      <c r="G47" t="s">
        <v>20</v>
      </c>
      <c r="I47" s="14" t="s">
        <v>144</v>
      </c>
      <c r="J47" s="25" t="s">
        <v>1468</v>
      </c>
    </row>
    <row r="48" spans="1:10" x14ac:dyDescent="0.55000000000000004">
      <c r="A48" s="13" t="s">
        <v>145</v>
      </c>
      <c r="B48" t="s">
        <v>23</v>
      </c>
      <c r="C48" t="s">
        <v>143</v>
      </c>
      <c r="D48" t="s">
        <v>18</v>
      </c>
      <c r="F48" t="s">
        <v>27</v>
      </c>
      <c r="G48" t="s">
        <v>20</v>
      </c>
      <c r="I48" s="14" t="s">
        <v>146</v>
      </c>
      <c r="J48" s="25" t="s">
        <v>1468</v>
      </c>
    </row>
    <row r="49" spans="1:10" x14ac:dyDescent="0.55000000000000004">
      <c r="A49" s="13" t="s">
        <v>147</v>
      </c>
      <c r="B49" t="s">
        <v>16</v>
      </c>
      <c r="C49" t="s">
        <v>148</v>
      </c>
      <c r="D49" t="s">
        <v>18</v>
      </c>
      <c r="F49" t="s">
        <v>33</v>
      </c>
      <c r="G49" t="s">
        <v>20</v>
      </c>
      <c r="I49" s="14" t="s">
        <v>149</v>
      </c>
      <c r="J49" s="25" t="s">
        <v>1468</v>
      </c>
    </row>
    <row r="50" spans="1:10" x14ac:dyDescent="0.55000000000000004">
      <c r="A50" s="13" t="s">
        <v>150</v>
      </c>
      <c r="B50" t="s">
        <v>23</v>
      </c>
      <c r="C50" t="s">
        <v>148</v>
      </c>
      <c r="D50" t="s">
        <v>18</v>
      </c>
      <c r="F50" t="s">
        <v>33</v>
      </c>
      <c r="G50" t="s">
        <v>20</v>
      </c>
      <c r="I50" s="14" t="s">
        <v>151</v>
      </c>
      <c r="J50" s="25" t="s">
        <v>1468</v>
      </c>
    </row>
    <row r="51" spans="1:10" x14ac:dyDescent="0.55000000000000004">
      <c r="A51" s="13" t="s">
        <v>152</v>
      </c>
      <c r="B51" t="s">
        <v>16</v>
      </c>
      <c r="C51" t="s">
        <v>153</v>
      </c>
      <c r="D51" t="s">
        <v>18</v>
      </c>
      <c r="F51" t="s">
        <v>138</v>
      </c>
      <c r="G51" t="s">
        <v>20</v>
      </c>
      <c r="I51" s="14" t="s">
        <v>154</v>
      </c>
      <c r="J51" s="25" t="s">
        <v>1468</v>
      </c>
    </row>
    <row r="52" spans="1:10" x14ac:dyDescent="0.55000000000000004">
      <c r="A52" s="13" t="s">
        <v>155</v>
      </c>
      <c r="B52" t="s">
        <v>23</v>
      </c>
      <c r="C52" t="s">
        <v>153</v>
      </c>
      <c r="D52" t="s">
        <v>18</v>
      </c>
      <c r="F52" t="s">
        <v>138</v>
      </c>
      <c r="G52" t="s">
        <v>20</v>
      </c>
      <c r="I52" s="14" t="s">
        <v>156</v>
      </c>
      <c r="J52" s="25" t="s">
        <v>1468</v>
      </c>
    </row>
    <row r="53" spans="1:10" x14ac:dyDescent="0.55000000000000004">
      <c r="A53" s="13" t="s">
        <v>157</v>
      </c>
      <c r="B53" t="s">
        <v>16</v>
      </c>
      <c r="C53" t="s">
        <v>158</v>
      </c>
      <c r="D53" t="s">
        <v>18</v>
      </c>
      <c r="F53" t="s">
        <v>27</v>
      </c>
      <c r="G53" t="s">
        <v>20</v>
      </c>
      <c r="I53" s="14" t="s">
        <v>159</v>
      </c>
      <c r="J53" s="25" t="s">
        <v>1468</v>
      </c>
    </row>
    <row r="54" spans="1:10" x14ac:dyDescent="0.55000000000000004">
      <c r="A54" s="13" t="s">
        <v>160</v>
      </c>
      <c r="B54" t="s">
        <v>23</v>
      </c>
      <c r="C54" t="s">
        <v>158</v>
      </c>
      <c r="D54" t="s">
        <v>18</v>
      </c>
      <c r="F54" t="s">
        <v>27</v>
      </c>
      <c r="G54" t="s">
        <v>20</v>
      </c>
      <c r="I54" s="14" t="s">
        <v>161</v>
      </c>
      <c r="J54" s="25" t="s">
        <v>1468</v>
      </c>
    </row>
    <row r="55" spans="1:10" x14ac:dyDescent="0.55000000000000004">
      <c r="A55" s="13" t="s">
        <v>162</v>
      </c>
      <c r="B55" t="s">
        <v>16</v>
      </c>
      <c r="C55" t="s">
        <v>163</v>
      </c>
      <c r="D55" t="s">
        <v>18</v>
      </c>
      <c r="F55" t="s">
        <v>33</v>
      </c>
      <c r="G55" t="s">
        <v>20</v>
      </c>
      <c r="I55" s="14" t="s">
        <v>164</v>
      </c>
      <c r="J55" s="25" t="s">
        <v>1468</v>
      </c>
    </row>
    <row r="56" spans="1:10" x14ac:dyDescent="0.55000000000000004">
      <c r="A56" s="13" t="s">
        <v>165</v>
      </c>
      <c r="B56" t="s">
        <v>23</v>
      </c>
      <c r="C56" t="s">
        <v>163</v>
      </c>
      <c r="D56" t="s">
        <v>18</v>
      </c>
      <c r="F56" t="s">
        <v>33</v>
      </c>
      <c r="G56" t="s">
        <v>20</v>
      </c>
      <c r="I56" s="14" t="s">
        <v>166</v>
      </c>
      <c r="J56" s="25" t="s">
        <v>1468</v>
      </c>
    </row>
    <row r="57" spans="1:10" x14ac:dyDescent="0.55000000000000004">
      <c r="A57" s="13" t="s">
        <v>167</v>
      </c>
      <c r="B57" t="s">
        <v>16</v>
      </c>
      <c r="C57" t="s">
        <v>168</v>
      </c>
      <c r="D57" t="s">
        <v>18</v>
      </c>
      <c r="F57" t="s">
        <v>169</v>
      </c>
      <c r="G57" t="s">
        <v>20</v>
      </c>
      <c r="I57" s="14" t="s">
        <v>170</v>
      </c>
      <c r="J57" s="25" t="s">
        <v>1468</v>
      </c>
    </row>
    <row r="58" spans="1:10" x14ac:dyDescent="0.55000000000000004">
      <c r="A58" s="13" t="s">
        <v>171</v>
      </c>
      <c r="B58" t="s">
        <v>23</v>
      </c>
      <c r="C58" t="s">
        <v>168</v>
      </c>
      <c r="D58" t="s">
        <v>18</v>
      </c>
      <c r="F58" t="s">
        <v>169</v>
      </c>
      <c r="G58" t="s">
        <v>20</v>
      </c>
      <c r="I58" s="14" t="s">
        <v>172</v>
      </c>
      <c r="J58" s="25" t="s">
        <v>1468</v>
      </c>
    </row>
    <row r="59" spans="1:10" x14ac:dyDescent="0.55000000000000004">
      <c r="A59" s="13" t="s">
        <v>173</v>
      </c>
      <c r="B59" t="s">
        <v>16</v>
      </c>
      <c r="C59" t="s">
        <v>174</v>
      </c>
      <c r="D59" t="s">
        <v>18</v>
      </c>
      <c r="F59" t="s">
        <v>27</v>
      </c>
      <c r="G59" t="s">
        <v>20</v>
      </c>
      <c r="I59" s="14" t="s">
        <v>175</v>
      </c>
      <c r="J59" s="25" t="s">
        <v>1468</v>
      </c>
    </row>
    <row r="60" spans="1:10" x14ac:dyDescent="0.55000000000000004">
      <c r="A60" s="13" t="s">
        <v>176</v>
      </c>
      <c r="B60" t="s">
        <v>23</v>
      </c>
      <c r="C60" t="s">
        <v>174</v>
      </c>
      <c r="D60" t="s">
        <v>18</v>
      </c>
      <c r="F60" t="s">
        <v>27</v>
      </c>
      <c r="G60" t="s">
        <v>20</v>
      </c>
      <c r="I60" s="14" t="s">
        <v>177</v>
      </c>
      <c r="J60" s="25" t="s">
        <v>1468</v>
      </c>
    </row>
    <row r="61" spans="1:10" x14ac:dyDescent="0.55000000000000004">
      <c r="A61" s="13" t="s">
        <v>178</v>
      </c>
      <c r="B61" t="s">
        <v>16</v>
      </c>
      <c r="C61" t="s">
        <v>179</v>
      </c>
      <c r="D61" t="s">
        <v>18</v>
      </c>
      <c r="F61" t="s">
        <v>33</v>
      </c>
      <c r="G61" t="s">
        <v>20</v>
      </c>
      <c r="I61" s="14" t="s">
        <v>180</v>
      </c>
      <c r="J61" s="25" t="s">
        <v>1468</v>
      </c>
    </row>
    <row r="62" spans="1:10" x14ac:dyDescent="0.55000000000000004">
      <c r="A62" s="13" t="s">
        <v>181</v>
      </c>
      <c r="B62" t="s">
        <v>23</v>
      </c>
      <c r="C62" t="s">
        <v>179</v>
      </c>
      <c r="D62" t="s">
        <v>18</v>
      </c>
      <c r="F62" t="s">
        <v>33</v>
      </c>
      <c r="G62" t="s">
        <v>20</v>
      </c>
      <c r="I62" s="14" t="s">
        <v>182</v>
      </c>
      <c r="J62" s="25" t="s">
        <v>1468</v>
      </c>
    </row>
    <row r="63" spans="1:10" x14ac:dyDescent="0.55000000000000004">
      <c r="A63" s="13" t="s">
        <v>183</v>
      </c>
      <c r="B63" t="s">
        <v>16</v>
      </c>
      <c r="C63" t="s">
        <v>184</v>
      </c>
      <c r="D63" t="s">
        <v>18</v>
      </c>
      <c r="F63" t="s">
        <v>169</v>
      </c>
      <c r="G63" t="s">
        <v>20</v>
      </c>
      <c r="I63" s="14" t="s">
        <v>185</v>
      </c>
      <c r="J63" s="25" t="s">
        <v>1468</v>
      </c>
    </row>
    <row r="64" spans="1:10" x14ac:dyDescent="0.55000000000000004">
      <c r="A64" s="13" t="s">
        <v>186</v>
      </c>
      <c r="B64" t="s">
        <v>23</v>
      </c>
      <c r="C64" t="s">
        <v>184</v>
      </c>
      <c r="D64" t="s">
        <v>18</v>
      </c>
      <c r="F64" t="s">
        <v>169</v>
      </c>
      <c r="G64" t="s">
        <v>20</v>
      </c>
      <c r="I64" s="14" t="s">
        <v>187</v>
      </c>
      <c r="J64" s="25" t="s">
        <v>1468</v>
      </c>
    </row>
    <row r="65" spans="1:10" x14ac:dyDescent="0.55000000000000004">
      <c r="A65" s="13" t="s">
        <v>188</v>
      </c>
      <c r="B65" t="s">
        <v>16</v>
      </c>
      <c r="C65" t="s">
        <v>189</v>
      </c>
      <c r="D65" t="s">
        <v>18</v>
      </c>
      <c r="F65" t="s">
        <v>27</v>
      </c>
      <c r="G65" t="s">
        <v>20</v>
      </c>
      <c r="I65" s="14" t="s">
        <v>190</v>
      </c>
      <c r="J65" s="25" t="s">
        <v>1468</v>
      </c>
    </row>
    <row r="66" spans="1:10" x14ac:dyDescent="0.55000000000000004">
      <c r="A66" s="13" t="s">
        <v>191</v>
      </c>
      <c r="B66" t="s">
        <v>23</v>
      </c>
      <c r="C66" t="s">
        <v>189</v>
      </c>
      <c r="D66" t="s">
        <v>18</v>
      </c>
      <c r="F66" t="s">
        <v>27</v>
      </c>
      <c r="G66" t="s">
        <v>20</v>
      </c>
      <c r="I66" s="14" t="s">
        <v>192</v>
      </c>
      <c r="J66" s="25" t="s">
        <v>1468</v>
      </c>
    </row>
    <row r="67" spans="1:10" x14ac:dyDescent="0.55000000000000004">
      <c r="A67" s="13" t="s">
        <v>193</v>
      </c>
      <c r="B67" t="s">
        <v>16</v>
      </c>
      <c r="C67" t="s">
        <v>194</v>
      </c>
      <c r="D67" t="s">
        <v>18</v>
      </c>
      <c r="F67" t="s">
        <v>27</v>
      </c>
      <c r="G67" t="s">
        <v>20</v>
      </c>
      <c r="I67" s="14" t="s">
        <v>195</v>
      </c>
      <c r="J67" s="25" t="s">
        <v>1468</v>
      </c>
    </row>
    <row r="68" spans="1:10" x14ac:dyDescent="0.55000000000000004">
      <c r="A68" s="13" t="s">
        <v>196</v>
      </c>
      <c r="B68" t="s">
        <v>23</v>
      </c>
      <c r="C68" t="s">
        <v>194</v>
      </c>
      <c r="D68" t="s">
        <v>18</v>
      </c>
      <c r="F68" t="s">
        <v>27</v>
      </c>
      <c r="G68" t="s">
        <v>20</v>
      </c>
      <c r="I68" s="14" t="s">
        <v>197</v>
      </c>
      <c r="J68" s="25" t="s">
        <v>1468</v>
      </c>
    </row>
    <row r="69" spans="1:10" x14ac:dyDescent="0.55000000000000004">
      <c r="A69" s="13" t="s">
        <v>198</v>
      </c>
      <c r="B69" t="s">
        <v>16</v>
      </c>
      <c r="C69" t="s">
        <v>199</v>
      </c>
      <c r="D69" t="s">
        <v>18</v>
      </c>
      <c r="F69" t="s">
        <v>169</v>
      </c>
      <c r="G69" t="s">
        <v>20</v>
      </c>
      <c r="I69" s="14" t="s">
        <v>200</v>
      </c>
      <c r="J69" s="25" t="s">
        <v>1468</v>
      </c>
    </row>
    <row r="70" spans="1:10" x14ac:dyDescent="0.55000000000000004">
      <c r="A70" s="13" t="s">
        <v>201</v>
      </c>
      <c r="B70" t="s">
        <v>23</v>
      </c>
      <c r="C70" t="s">
        <v>199</v>
      </c>
      <c r="D70" t="s">
        <v>18</v>
      </c>
      <c r="F70" t="s">
        <v>169</v>
      </c>
      <c r="G70" t="s">
        <v>20</v>
      </c>
      <c r="I70" s="14" t="s">
        <v>202</v>
      </c>
      <c r="J70" s="25" t="s">
        <v>1468</v>
      </c>
    </row>
    <row r="71" spans="1:10" x14ac:dyDescent="0.55000000000000004">
      <c r="A71" s="13" t="s">
        <v>203</v>
      </c>
      <c r="B71" t="s">
        <v>16</v>
      </c>
      <c r="C71" t="s">
        <v>204</v>
      </c>
      <c r="D71" t="s">
        <v>18</v>
      </c>
      <c r="F71" t="s">
        <v>27</v>
      </c>
      <c r="G71" t="s">
        <v>20</v>
      </c>
      <c r="I71" s="14" t="s">
        <v>205</v>
      </c>
      <c r="J71" s="25" t="s">
        <v>1468</v>
      </c>
    </row>
    <row r="72" spans="1:10" x14ac:dyDescent="0.55000000000000004">
      <c r="A72" s="13" t="s">
        <v>206</v>
      </c>
      <c r="B72" t="s">
        <v>23</v>
      </c>
      <c r="C72" t="s">
        <v>204</v>
      </c>
      <c r="D72" t="s">
        <v>18</v>
      </c>
      <c r="F72" t="s">
        <v>27</v>
      </c>
      <c r="G72" t="s">
        <v>20</v>
      </c>
      <c r="I72" s="14" t="s">
        <v>207</v>
      </c>
      <c r="J72" s="25" t="s">
        <v>1468</v>
      </c>
    </row>
    <row r="73" spans="1:10" x14ac:dyDescent="0.55000000000000004">
      <c r="A73" s="13" t="s">
        <v>208</v>
      </c>
      <c r="B73" t="s">
        <v>16</v>
      </c>
      <c r="C73" t="s">
        <v>209</v>
      </c>
      <c r="D73" t="s">
        <v>18</v>
      </c>
      <c r="F73" t="s">
        <v>33</v>
      </c>
      <c r="G73" t="s">
        <v>20</v>
      </c>
      <c r="I73" s="14" t="s">
        <v>210</v>
      </c>
      <c r="J73" s="25" t="s">
        <v>1468</v>
      </c>
    </row>
    <row r="74" spans="1:10" x14ac:dyDescent="0.55000000000000004">
      <c r="A74" s="13" t="s">
        <v>211</v>
      </c>
      <c r="B74" t="s">
        <v>23</v>
      </c>
      <c r="C74" t="s">
        <v>209</v>
      </c>
      <c r="D74" t="s">
        <v>18</v>
      </c>
      <c r="F74" t="s">
        <v>33</v>
      </c>
      <c r="G74" t="s">
        <v>20</v>
      </c>
      <c r="I74" s="14" t="s">
        <v>212</v>
      </c>
      <c r="J74" s="25" t="s">
        <v>1468</v>
      </c>
    </row>
    <row r="75" spans="1:10" x14ac:dyDescent="0.55000000000000004">
      <c r="A75" s="13" t="s">
        <v>213</v>
      </c>
      <c r="B75" t="s">
        <v>16</v>
      </c>
      <c r="C75" t="s">
        <v>214</v>
      </c>
      <c r="D75" t="s">
        <v>18</v>
      </c>
      <c r="F75" t="s">
        <v>169</v>
      </c>
      <c r="G75" t="s">
        <v>20</v>
      </c>
      <c r="I75" s="14" t="s">
        <v>215</v>
      </c>
      <c r="J75" s="25" t="s">
        <v>1468</v>
      </c>
    </row>
    <row r="76" spans="1:10" x14ac:dyDescent="0.55000000000000004">
      <c r="A76" s="13" t="s">
        <v>216</v>
      </c>
      <c r="B76" t="s">
        <v>23</v>
      </c>
      <c r="C76" t="s">
        <v>214</v>
      </c>
      <c r="D76" t="s">
        <v>18</v>
      </c>
      <c r="F76" t="s">
        <v>169</v>
      </c>
      <c r="G76" t="s">
        <v>20</v>
      </c>
      <c r="I76" s="14" t="s">
        <v>217</v>
      </c>
      <c r="J76" s="25" t="s">
        <v>1468</v>
      </c>
    </row>
    <row r="77" spans="1:10" x14ac:dyDescent="0.55000000000000004">
      <c r="A77" s="13" t="s">
        <v>218</v>
      </c>
      <c r="B77" t="s">
        <v>16</v>
      </c>
      <c r="C77" t="s">
        <v>219</v>
      </c>
      <c r="D77" t="s">
        <v>18</v>
      </c>
      <c r="F77" t="s">
        <v>33</v>
      </c>
      <c r="G77" t="s">
        <v>20</v>
      </c>
      <c r="I77" s="14" t="s">
        <v>220</v>
      </c>
      <c r="J77" s="25" t="s">
        <v>1468</v>
      </c>
    </row>
    <row r="78" spans="1:10" x14ac:dyDescent="0.55000000000000004">
      <c r="A78" s="13" t="s">
        <v>221</v>
      </c>
      <c r="B78" t="s">
        <v>23</v>
      </c>
      <c r="C78" t="s">
        <v>219</v>
      </c>
      <c r="D78" t="s">
        <v>18</v>
      </c>
      <c r="F78" t="s">
        <v>33</v>
      </c>
      <c r="G78" t="s">
        <v>20</v>
      </c>
      <c r="I78" s="14" t="s">
        <v>222</v>
      </c>
      <c r="J78" s="25" t="s">
        <v>1468</v>
      </c>
    </row>
    <row r="79" spans="1:10" x14ac:dyDescent="0.55000000000000004">
      <c r="A79" s="13" t="s">
        <v>223</v>
      </c>
      <c r="B79" t="s">
        <v>16</v>
      </c>
      <c r="C79" t="s">
        <v>224</v>
      </c>
      <c r="D79" t="s">
        <v>18</v>
      </c>
      <c r="F79" t="s">
        <v>27</v>
      </c>
      <c r="G79" t="s">
        <v>20</v>
      </c>
      <c r="I79" s="14" t="s">
        <v>225</v>
      </c>
      <c r="J79" s="25" t="s">
        <v>1468</v>
      </c>
    </row>
    <row r="80" spans="1:10" x14ac:dyDescent="0.55000000000000004">
      <c r="A80" s="13" t="s">
        <v>226</v>
      </c>
      <c r="B80" t="s">
        <v>23</v>
      </c>
      <c r="C80" t="s">
        <v>224</v>
      </c>
      <c r="D80" t="s">
        <v>18</v>
      </c>
      <c r="F80" t="s">
        <v>27</v>
      </c>
      <c r="G80" t="s">
        <v>20</v>
      </c>
      <c r="I80" s="14" t="s">
        <v>227</v>
      </c>
      <c r="J80" s="25" t="s">
        <v>1468</v>
      </c>
    </row>
    <row r="81" spans="1:10" x14ac:dyDescent="0.55000000000000004">
      <c r="A81" s="13" t="s">
        <v>228</v>
      </c>
      <c r="B81" t="s">
        <v>16</v>
      </c>
      <c r="C81" t="s">
        <v>229</v>
      </c>
      <c r="D81" t="s">
        <v>18</v>
      </c>
      <c r="F81" t="s">
        <v>27</v>
      </c>
      <c r="G81" t="s">
        <v>20</v>
      </c>
      <c r="I81" s="14" t="s">
        <v>230</v>
      </c>
      <c r="J81" s="25" t="s">
        <v>1468</v>
      </c>
    </row>
    <row r="82" spans="1:10" x14ac:dyDescent="0.55000000000000004">
      <c r="A82" s="13" t="s">
        <v>231</v>
      </c>
      <c r="B82" t="s">
        <v>23</v>
      </c>
      <c r="C82" t="s">
        <v>229</v>
      </c>
      <c r="D82" t="s">
        <v>18</v>
      </c>
      <c r="F82" t="s">
        <v>27</v>
      </c>
      <c r="G82" t="s">
        <v>20</v>
      </c>
      <c r="I82" s="14" t="s">
        <v>232</v>
      </c>
      <c r="J82" s="25" t="s">
        <v>1468</v>
      </c>
    </row>
    <row r="83" spans="1:10" x14ac:dyDescent="0.55000000000000004">
      <c r="A83" s="13" t="s">
        <v>233</v>
      </c>
      <c r="B83" t="s">
        <v>16</v>
      </c>
      <c r="C83" t="s">
        <v>234</v>
      </c>
      <c r="D83" t="s">
        <v>18</v>
      </c>
      <c r="F83" t="s">
        <v>27</v>
      </c>
      <c r="G83" t="s">
        <v>20</v>
      </c>
      <c r="I83" s="14" t="s">
        <v>235</v>
      </c>
      <c r="J83" s="25" t="s">
        <v>1468</v>
      </c>
    </row>
    <row r="84" spans="1:10" x14ac:dyDescent="0.55000000000000004">
      <c r="A84" s="13" t="s">
        <v>236</v>
      </c>
      <c r="B84" t="s">
        <v>23</v>
      </c>
      <c r="C84" t="s">
        <v>234</v>
      </c>
      <c r="D84" t="s">
        <v>18</v>
      </c>
      <c r="F84" t="s">
        <v>27</v>
      </c>
      <c r="G84" t="s">
        <v>20</v>
      </c>
      <c r="I84" s="14" t="s">
        <v>237</v>
      </c>
      <c r="J84" s="25" t="s">
        <v>1468</v>
      </c>
    </row>
    <row r="85" spans="1:10" x14ac:dyDescent="0.55000000000000004">
      <c r="A85" s="13" t="s">
        <v>238</v>
      </c>
      <c r="B85" t="s">
        <v>16</v>
      </c>
      <c r="C85" t="s">
        <v>239</v>
      </c>
      <c r="D85" t="s">
        <v>18</v>
      </c>
      <c r="F85" t="s">
        <v>33</v>
      </c>
      <c r="G85" t="s">
        <v>20</v>
      </c>
      <c r="I85" s="14" t="s">
        <v>240</v>
      </c>
      <c r="J85" s="25" t="s">
        <v>1468</v>
      </c>
    </row>
    <row r="86" spans="1:10" x14ac:dyDescent="0.55000000000000004">
      <c r="A86" s="13" t="s">
        <v>241</v>
      </c>
      <c r="B86" t="s">
        <v>23</v>
      </c>
      <c r="C86" t="s">
        <v>239</v>
      </c>
      <c r="D86" t="s">
        <v>18</v>
      </c>
      <c r="F86" t="s">
        <v>33</v>
      </c>
      <c r="G86" t="s">
        <v>20</v>
      </c>
      <c r="I86" s="14" t="s">
        <v>242</v>
      </c>
      <c r="J86" s="25" t="s">
        <v>1468</v>
      </c>
    </row>
    <row r="87" spans="1:10" x14ac:dyDescent="0.55000000000000004">
      <c r="A87" s="13" t="s">
        <v>243</v>
      </c>
      <c r="B87" t="s">
        <v>16</v>
      </c>
      <c r="C87" t="s">
        <v>244</v>
      </c>
      <c r="D87" t="s">
        <v>18</v>
      </c>
      <c r="F87" t="s">
        <v>27</v>
      </c>
      <c r="G87" t="s">
        <v>20</v>
      </c>
      <c r="I87" s="14" t="s">
        <v>245</v>
      </c>
      <c r="J87" s="25" t="s">
        <v>1468</v>
      </c>
    </row>
    <row r="88" spans="1:10" x14ac:dyDescent="0.55000000000000004">
      <c r="A88" s="13" t="s">
        <v>246</v>
      </c>
      <c r="B88" t="s">
        <v>23</v>
      </c>
      <c r="C88" t="s">
        <v>244</v>
      </c>
      <c r="D88" t="s">
        <v>18</v>
      </c>
      <c r="F88" t="s">
        <v>27</v>
      </c>
      <c r="G88" t="s">
        <v>20</v>
      </c>
      <c r="I88" s="14" t="s">
        <v>247</v>
      </c>
      <c r="J88" s="25" t="s">
        <v>1468</v>
      </c>
    </row>
    <row r="89" spans="1:10" x14ac:dyDescent="0.55000000000000004">
      <c r="A89" s="13" t="s">
        <v>248</v>
      </c>
      <c r="B89" t="s">
        <v>16</v>
      </c>
      <c r="C89" t="s">
        <v>249</v>
      </c>
      <c r="D89" t="s">
        <v>18</v>
      </c>
      <c r="F89" t="s">
        <v>250</v>
      </c>
      <c r="G89" t="s">
        <v>20</v>
      </c>
      <c r="I89" s="14" t="s">
        <v>251</v>
      </c>
      <c r="J89" s="25" t="s">
        <v>1468</v>
      </c>
    </row>
    <row r="90" spans="1:10" x14ac:dyDescent="0.55000000000000004">
      <c r="A90" s="13" t="s">
        <v>252</v>
      </c>
      <c r="B90" t="s">
        <v>23</v>
      </c>
      <c r="C90" t="s">
        <v>249</v>
      </c>
      <c r="D90" t="s">
        <v>18</v>
      </c>
      <c r="F90" t="s">
        <v>250</v>
      </c>
      <c r="G90" t="s">
        <v>20</v>
      </c>
      <c r="I90" s="14" t="s">
        <v>253</v>
      </c>
      <c r="J90" s="25" t="s">
        <v>1468</v>
      </c>
    </row>
    <row r="91" spans="1:10" x14ac:dyDescent="0.55000000000000004">
      <c r="A91" s="13" t="s">
        <v>254</v>
      </c>
      <c r="B91" t="s">
        <v>16</v>
      </c>
      <c r="C91" t="s">
        <v>255</v>
      </c>
      <c r="D91" t="s">
        <v>18</v>
      </c>
      <c r="F91" t="s">
        <v>27</v>
      </c>
      <c r="G91" t="s">
        <v>20</v>
      </c>
      <c r="I91" s="14" t="s">
        <v>256</v>
      </c>
      <c r="J91" s="25" t="s">
        <v>1468</v>
      </c>
    </row>
    <row r="92" spans="1:10" x14ac:dyDescent="0.55000000000000004">
      <c r="A92" s="13" t="s">
        <v>257</v>
      </c>
      <c r="B92" t="s">
        <v>23</v>
      </c>
      <c r="C92" t="s">
        <v>255</v>
      </c>
      <c r="D92" t="s">
        <v>18</v>
      </c>
      <c r="F92" t="s">
        <v>27</v>
      </c>
      <c r="G92" t="s">
        <v>20</v>
      </c>
      <c r="I92" s="14" t="s">
        <v>258</v>
      </c>
      <c r="J92" s="25" t="s">
        <v>1468</v>
      </c>
    </row>
    <row r="93" spans="1:10" x14ac:dyDescent="0.55000000000000004">
      <c r="A93" s="13" t="s">
        <v>259</v>
      </c>
      <c r="B93" t="s">
        <v>16</v>
      </c>
      <c r="C93" t="s">
        <v>260</v>
      </c>
      <c r="D93" t="s">
        <v>18</v>
      </c>
      <c r="F93" t="s">
        <v>33</v>
      </c>
      <c r="G93" t="s">
        <v>20</v>
      </c>
      <c r="I93" s="14" t="s">
        <v>261</v>
      </c>
      <c r="J93" s="25" t="s">
        <v>1468</v>
      </c>
    </row>
    <row r="94" spans="1:10" x14ac:dyDescent="0.55000000000000004">
      <c r="A94" s="13" t="s">
        <v>262</v>
      </c>
      <c r="B94" t="s">
        <v>23</v>
      </c>
      <c r="C94" t="s">
        <v>260</v>
      </c>
      <c r="D94" t="s">
        <v>18</v>
      </c>
      <c r="F94" t="s">
        <v>33</v>
      </c>
      <c r="G94" t="s">
        <v>20</v>
      </c>
      <c r="I94" s="14" t="s">
        <v>263</v>
      </c>
      <c r="J94" s="25" t="s">
        <v>1468</v>
      </c>
    </row>
    <row r="95" spans="1:10" x14ac:dyDescent="0.55000000000000004">
      <c r="A95" s="13" t="s">
        <v>264</v>
      </c>
      <c r="B95" t="s">
        <v>16</v>
      </c>
      <c r="C95" t="s">
        <v>265</v>
      </c>
      <c r="D95" t="s">
        <v>18</v>
      </c>
      <c r="F95" t="s">
        <v>27</v>
      </c>
      <c r="G95" t="s">
        <v>20</v>
      </c>
      <c r="I95" s="14" t="s">
        <v>266</v>
      </c>
      <c r="J95" s="25" t="s">
        <v>1468</v>
      </c>
    </row>
    <row r="96" spans="1:10" x14ac:dyDescent="0.55000000000000004">
      <c r="A96" s="13" t="s">
        <v>267</v>
      </c>
      <c r="B96" t="s">
        <v>23</v>
      </c>
      <c r="C96" t="s">
        <v>265</v>
      </c>
      <c r="D96" t="s">
        <v>18</v>
      </c>
      <c r="F96" t="s">
        <v>27</v>
      </c>
      <c r="G96" t="s">
        <v>20</v>
      </c>
      <c r="I96" s="14" t="s">
        <v>268</v>
      </c>
      <c r="J96" s="25" t="s">
        <v>1468</v>
      </c>
    </row>
    <row r="97" spans="1:10" x14ac:dyDescent="0.55000000000000004">
      <c r="A97" s="13" t="s">
        <v>269</v>
      </c>
      <c r="B97" t="s">
        <v>16</v>
      </c>
      <c r="C97" t="s">
        <v>270</v>
      </c>
      <c r="D97" t="s">
        <v>18</v>
      </c>
      <c r="F97" t="s">
        <v>33</v>
      </c>
      <c r="G97" t="s">
        <v>20</v>
      </c>
      <c r="I97" s="14" t="s">
        <v>271</v>
      </c>
      <c r="J97" s="25" t="s">
        <v>1468</v>
      </c>
    </row>
    <row r="98" spans="1:10" x14ac:dyDescent="0.55000000000000004">
      <c r="A98" s="13" t="s">
        <v>272</v>
      </c>
      <c r="B98" t="s">
        <v>23</v>
      </c>
      <c r="C98" t="s">
        <v>270</v>
      </c>
      <c r="D98" t="s">
        <v>18</v>
      </c>
      <c r="F98" t="s">
        <v>33</v>
      </c>
      <c r="G98" t="s">
        <v>20</v>
      </c>
      <c r="I98" s="14" t="s">
        <v>273</v>
      </c>
      <c r="J98" s="25" t="s">
        <v>1468</v>
      </c>
    </row>
    <row r="99" spans="1:10" x14ac:dyDescent="0.55000000000000004">
      <c r="A99" s="13" t="s">
        <v>274</v>
      </c>
      <c r="B99" t="s">
        <v>90</v>
      </c>
      <c r="C99" t="s">
        <v>274</v>
      </c>
      <c r="F99" t="s">
        <v>91</v>
      </c>
      <c r="G99" t="s">
        <v>92</v>
      </c>
      <c r="I99" s="14" t="s">
        <v>275</v>
      </c>
      <c r="J99" s="25" t="s">
        <v>312</v>
      </c>
    </row>
    <row r="100" spans="1:10" x14ac:dyDescent="0.55000000000000004">
      <c r="A100" s="13" t="s">
        <v>276</v>
      </c>
      <c r="B100" t="s">
        <v>16</v>
      </c>
      <c r="C100" t="s">
        <v>277</v>
      </c>
      <c r="D100" t="s">
        <v>18</v>
      </c>
      <c r="F100" t="s">
        <v>27</v>
      </c>
      <c r="G100" t="s">
        <v>20</v>
      </c>
      <c r="I100" s="14" t="s">
        <v>278</v>
      </c>
      <c r="J100" s="25" t="s">
        <v>1468</v>
      </c>
    </row>
    <row r="101" spans="1:10" x14ac:dyDescent="0.55000000000000004">
      <c r="A101" s="13" t="s">
        <v>279</v>
      </c>
      <c r="B101" t="s">
        <v>23</v>
      </c>
      <c r="C101" t="s">
        <v>277</v>
      </c>
      <c r="D101" t="s">
        <v>18</v>
      </c>
      <c r="F101" t="s">
        <v>27</v>
      </c>
      <c r="G101" t="s">
        <v>20</v>
      </c>
      <c r="I101" s="14" t="s">
        <v>280</v>
      </c>
      <c r="J101" s="25" t="s">
        <v>1468</v>
      </c>
    </row>
    <row r="102" spans="1:10" x14ac:dyDescent="0.55000000000000004">
      <c r="A102" s="13" t="s">
        <v>281</v>
      </c>
      <c r="B102" t="s">
        <v>16</v>
      </c>
      <c r="C102" t="s">
        <v>282</v>
      </c>
      <c r="D102" t="s">
        <v>18</v>
      </c>
      <c r="F102" t="s">
        <v>33</v>
      </c>
      <c r="G102" t="s">
        <v>20</v>
      </c>
      <c r="I102" s="14" t="s">
        <v>283</v>
      </c>
      <c r="J102" s="25" t="s">
        <v>1468</v>
      </c>
    </row>
    <row r="103" spans="1:10" x14ac:dyDescent="0.55000000000000004">
      <c r="A103" s="13" t="s">
        <v>284</v>
      </c>
      <c r="B103" t="s">
        <v>23</v>
      </c>
      <c r="C103" t="s">
        <v>282</v>
      </c>
      <c r="D103" t="s">
        <v>18</v>
      </c>
      <c r="F103" t="s">
        <v>33</v>
      </c>
      <c r="G103" t="s">
        <v>20</v>
      </c>
      <c r="I103" s="14" t="s">
        <v>285</v>
      </c>
      <c r="J103" s="25" t="s">
        <v>1468</v>
      </c>
    </row>
    <row r="104" spans="1:10" x14ac:dyDescent="0.55000000000000004">
      <c r="A104" s="13" t="s">
        <v>286</v>
      </c>
      <c r="B104" t="s">
        <v>16</v>
      </c>
      <c r="C104" t="s">
        <v>287</v>
      </c>
      <c r="D104" t="s">
        <v>18</v>
      </c>
      <c r="F104" t="s">
        <v>27</v>
      </c>
      <c r="G104" t="s">
        <v>20</v>
      </c>
      <c r="I104" s="14" t="s">
        <v>288</v>
      </c>
      <c r="J104" s="25" t="s">
        <v>1468</v>
      </c>
    </row>
    <row r="105" spans="1:10" x14ac:dyDescent="0.55000000000000004">
      <c r="A105" s="13" t="s">
        <v>289</v>
      </c>
      <c r="B105" t="s">
        <v>23</v>
      </c>
      <c r="C105" t="s">
        <v>287</v>
      </c>
      <c r="D105" t="s">
        <v>18</v>
      </c>
      <c r="F105" t="s">
        <v>27</v>
      </c>
      <c r="G105" t="s">
        <v>20</v>
      </c>
      <c r="I105" s="14" t="s">
        <v>290</v>
      </c>
      <c r="J105" s="25" t="s">
        <v>1468</v>
      </c>
    </row>
    <row r="106" spans="1:10" x14ac:dyDescent="0.55000000000000004">
      <c r="A106" s="13" t="s">
        <v>291</v>
      </c>
      <c r="B106" t="s">
        <v>16</v>
      </c>
      <c r="C106" t="s">
        <v>292</v>
      </c>
      <c r="D106" t="s">
        <v>18</v>
      </c>
      <c r="F106" t="s">
        <v>27</v>
      </c>
      <c r="G106" t="s">
        <v>20</v>
      </c>
      <c r="I106" s="14" t="s">
        <v>293</v>
      </c>
      <c r="J106" s="25" t="s">
        <v>1468</v>
      </c>
    </row>
    <row r="107" spans="1:10" x14ac:dyDescent="0.55000000000000004">
      <c r="A107" s="13" t="s">
        <v>294</v>
      </c>
      <c r="B107" t="s">
        <v>23</v>
      </c>
      <c r="C107" t="s">
        <v>292</v>
      </c>
      <c r="D107" t="s">
        <v>18</v>
      </c>
      <c r="F107" t="s">
        <v>27</v>
      </c>
      <c r="G107" t="s">
        <v>20</v>
      </c>
      <c r="I107" s="14" t="s">
        <v>295</v>
      </c>
      <c r="J107" s="25" t="s">
        <v>1468</v>
      </c>
    </row>
    <row r="108" spans="1:10" x14ac:dyDescent="0.55000000000000004">
      <c r="A108" s="13" t="s">
        <v>296</v>
      </c>
      <c r="B108" t="s">
        <v>16</v>
      </c>
      <c r="C108" t="s">
        <v>297</v>
      </c>
      <c r="D108" t="s">
        <v>18</v>
      </c>
      <c r="F108" t="s">
        <v>169</v>
      </c>
      <c r="G108" t="s">
        <v>20</v>
      </c>
      <c r="I108" s="14" t="s">
        <v>298</v>
      </c>
      <c r="J108" s="25" t="s">
        <v>1468</v>
      </c>
    </row>
    <row r="109" spans="1:10" x14ac:dyDescent="0.55000000000000004">
      <c r="A109" s="13" t="s">
        <v>299</v>
      </c>
      <c r="B109" t="s">
        <v>23</v>
      </c>
      <c r="C109" t="s">
        <v>297</v>
      </c>
      <c r="D109" t="s">
        <v>18</v>
      </c>
      <c r="F109" t="s">
        <v>169</v>
      </c>
      <c r="G109" t="s">
        <v>20</v>
      </c>
      <c r="I109" s="14" t="s">
        <v>300</v>
      </c>
      <c r="J109" s="25" t="s">
        <v>1468</v>
      </c>
    </row>
    <row r="110" spans="1:10" x14ac:dyDescent="0.55000000000000004">
      <c r="A110" s="13" t="s">
        <v>301</v>
      </c>
      <c r="B110" t="s">
        <v>16</v>
      </c>
      <c r="C110" t="s">
        <v>302</v>
      </c>
      <c r="D110" t="s">
        <v>18</v>
      </c>
      <c r="F110" t="s">
        <v>27</v>
      </c>
      <c r="G110" t="s">
        <v>20</v>
      </c>
      <c r="I110" s="14" t="s">
        <v>303</v>
      </c>
      <c r="J110" s="25" t="s">
        <v>1468</v>
      </c>
    </row>
    <row r="111" spans="1:10" x14ac:dyDescent="0.55000000000000004">
      <c r="A111" s="13" t="s">
        <v>304</v>
      </c>
      <c r="B111" t="s">
        <v>23</v>
      </c>
      <c r="C111" t="s">
        <v>302</v>
      </c>
      <c r="D111" t="s">
        <v>18</v>
      </c>
      <c r="F111" t="s">
        <v>27</v>
      </c>
      <c r="G111" t="s">
        <v>20</v>
      </c>
      <c r="I111" s="14" t="s">
        <v>305</v>
      </c>
      <c r="J111" s="25" t="s">
        <v>1468</v>
      </c>
    </row>
    <row r="112" spans="1:10" x14ac:dyDescent="0.55000000000000004">
      <c r="A112" s="13" t="s">
        <v>306</v>
      </c>
      <c r="B112" t="s">
        <v>16</v>
      </c>
      <c r="C112" t="s">
        <v>307</v>
      </c>
      <c r="D112" t="s">
        <v>18</v>
      </c>
      <c r="F112" t="s">
        <v>27</v>
      </c>
      <c r="G112" t="s">
        <v>20</v>
      </c>
      <c r="I112" s="14" t="s">
        <v>308</v>
      </c>
      <c r="J112" s="25" t="s">
        <v>1468</v>
      </c>
    </row>
    <row r="113" spans="1:16" x14ac:dyDescent="0.55000000000000004">
      <c r="A113" s="13" t="s">
        <v>309</v>
      </c>
      <c r="B113" t="s">
        <v>23</v>
      </c>
      <c r="C113" t="s">
        <v>307</v>
      </c>
      <c r="D113" t="s">
        <v>18</v>
      </c>
      <c r="F113" t="s">
        <v>27</v>
      </c>
      <c r="G113" t="s">
        <v>20</v>
      </c>
      <c r="I113" s="14" t="s">
        <v>310</v>
      </c>
      <c r="J113" s="25" t="s">
        <v>1468</v>
      </c>
    </row>
    <row r="114" spans="1:16" x14ac:dyDescent="0.55000000000000004">
      <c r="A114" s="13" t="s">
        <v>311</v>
      </c>
      <c r="C114" t="s">
        <v>311</v>
      </c>
      <c r="G114" t="s">
        <v>312</v>
      </c>
      <c r="H114" t="s">
        <v>1679</v>
      </c>
      <c r="I114" s="14" t="s">
        <v>313</v>
      </c>
      <c r="J114" s="25" t="s">
        <v>312</v>
      </c>
    </row>
    <row r="115" spans="1:16" x14ac:dyDescent="0.55000000000000004">
      <c r="A115" s="13" t="s">
        <v>314</v>
      </c>
      <c r="B115" t="s">
        <v>90</v>
      </c>
      <c r="C115" t="s">
        <v>315</v>
      </c>
      <c r="D115" t="s">
        <v>316</v>
      </c>
      <c r="F115" t="s">
        <v>317</v>
      </c>
      <c r="G115" t="s">
        <v>318</v>
      </c>
      <c r="I115" s="14" t="s">
        <v>319</v>
      </c>
      <c r="J115" s="25" t="s">
        <v>1426</v>
      </c>
    </row>
    <row r="116" spans="1:16" x14ac:dyDescent="0.55000000000000004">
      <c r="A116" s="13" t="s">
        <v>320</v>
      </c>
      <c r="B116" t="s">
        <v>16</v>
      </c>
      <c r="C116" t="s">
        <v>315</v>
      </c>
      <c r="D116" t="s">
        <v>321</v>
      </c>
      <c r="F116" t="s">
        <v>317</v>
      </c>
      <c r="G116" t="s">
        <v>318</v>
      </c>
      <c r="I116" s="14" t="s">
        <v>322</v>
      </c>
      <c r="J116" s="25" t="s">
        <v>1426</v>
      </c>
      <c r="N116" t="s">
        <v>323</v>
      </c>
    </row>
    <row r="117" spans="1:16" x14ac:dyDescent="0.55000000000000004">
      <c r="A117" s="13" t="s">
        <v>324</v>
      </c>
      <c r="B117" t="s">
        <v>16</v>
      </c>
      <c r="C117" t="s">
        <v>315</v>
      </c>
      <c r="D117" t="s">
        <v>18</v>
      </c>
      <c r="F117" t="s">
        <v>325</v>
      </c>
      <c r="G117" t="s">
        <v>326</v>
      </c>
      <c r="I117" s="14" t="s">
        <v>327</v>
      </c>
      <c r="J117" s="25" t="s">
        <v>1468</v>
      </c>
    </row>
    <row r="118" spans="1:16" x14ac:dyDescent="0.55000000000000004">
      <c r="A118" s="13" t="s">
        <v>328</v>
      </c>
      <c r="B118" t="s">
        <v>23</v>
      </c>
      <c r="C118" t="s">
        <v>315</v>
      </c>
      <c r="D118" t="s">
        <v>18</v>
      </c>
      <c r="F118" t="s">
        <v>325</v>
      </c>
      <c r="G118" t="s">
        <v>326</v>
      </c>
      <c r="I118" s="14" t="s">
        <v>329</v>
      </c>
      <c r="J118" s="25" t="s">
        <v>1468</v>
      </c>
    </row>
    <row r="119" spans="1:16" x14ac:dyDescent="0.55000000000000004">
      <c r="A119" s="13" t="s">
        <v>330</v>
      </c>
      <c r="B119" t="s">
        <v>16</v>
      </c>
      <c r="C119" t="s">
        <v>315</v>
      </c>
      <c r="D119" t="s">
        <v>331</v>
      </c>
      <c r="F119" t="s">
        <v>325</v>
      </c>
      <c r="G119" t="s">
        <v>326</v>
      </c>
      <c r="I119" s="14" t="s">
        <v>332</v>
      </c>
      <c r="J119" s="25" t="s">
        <v>1441</v>
      </c>
    </row>
    <row r="120" spans="1:16" x14ac:dyDescent="0.55000000000000004">
      <c r="A120" s="13" t="s">
        <v>333</v>
      </c>
      <c r="B120" t="s">
        <v>16</v>
      </c>
      <c r="C120" t="s">
        <v>315</v>
      </c>
      <c r="D120" t="s">
        <v>18</v>
      </c>
      <c r="F120" t="s">
        <v>169</v>
      </c>
      <c r="G120" t="s">
        <v>334</v>
      </c>
      <c r="I120" s="14" t="s">
        <v>335</v>
      </c>
      <c r="J120" s="25" t="s">
        <v>1468</v>
      </c>
    </row>
    <row r="121" spans="1:16" x14ac:dyDescent="0.55000000000000004">
      <c r="A121" s="13" t="s">
        <v>336</v>
      </c>
      <c r="B121" t="s">
        <v>23</v>
      </c>
      <c r="C121" t="s">
        <v>315</v>
      </c>
      <c r="D121" t="s">
        <v>18</v>
      </c>
      <c r="F121" t="s">
        <v>169</v>
      </c>
      <c r="G121" t="s">
        <v>334</v>
      </c>
      <c r="I121" s="14" t="s">
        <v>337</v>
      </c>
      <c r="J121" s="25" t="s">
        <v>1468</v>
      </c>
    </row>
    <row r="122" spans="1:16" x14ac:dyDescent="0.55000000000000004">
      <c r="A122" s="13" t="s">
        <v>338</v>
      </c>
      <c r="B122" t="s">
        <v>16</v>
      </c>
      <c r="C122" t="s">
        <v>339</v>
      </c>
      <c r="D122" t="s">
        <v>18</v>
      </c>
      <c r="F122" t="s">
        <v>27</v>
      </c>
      <c r="G122" t="s">
        <v>340</v>
      </c>
      <c r="I122" s="14" t="s">
        <v>341</v>
      </c>
      <c r="J122" s="25" t="s">
        <v>1468</v>
      </c>
    </row>
    <row r="123" spans="1:16" x14ac:dyDescent="0.55000000000000004">
      <c r="A123" s="13" t="s">
        <v>342</v>
      </c>
      <c r="B123" t="s">
        <v>23</v>
      </c>
      <c r="C123" t="s">
        <v>339</v>
      </c>
      <c r="D123" t="s">
        <v>18</v>
      </c>
      <c r="F123" t="s">
        <v>27</v>
      </c>
      <c r="G123" t="s">
        <v>340</v>
      </c>
      <c r="I123" s="14" t="s">
        <v>343</v>
      </c>
      <c r="J123" s="25" t="s">
        <v>1468</v>
      </c>
    </row>
    <row r="124" spans="1:16" x14ac:dyDescent="0.55000000000000004">
      <c r="A124" s="13" t="s">
        <v>344</v>
      </c>
      <c r="B124" t="s">
        <v>16</v>
      </c>
      <c r="C124" t="s">
        <v>315</v>
      </c>
      <c r="D124" t="s">
        <v>331</v>
      </c>
      <c r="F124" t="s">
        <v>345</v>
      </c>
      <c r="G124" t="s">
        <v>318</v>
      </c>
      <c r="I124" s="14" t="s">
        <v>346</v>
      </c>
      <c r="J124" s="25" t="s">
        <v>1426</v>
      </c>
    </row>
    <row r="125" spans="1:16" x14ac:dyDescent="0.55000000000000004">
      <c r="A125" s="13" t="s">
        <v>347</v>
      </c>
      <c r="B125" t="s">
        <v>16</v>
      </c>
      <c r="C125" t="s">
        <v>315</v>
      </c>
      <c r="D125" t="s">
        <v>331</v>
      </c>
      <c r="F125" t="s">
        <v>348</v>
      </c>
      <c r="G125" t="s">
        <v>318</v>
      </c>
      <c r="I125" s="14" t="s">
        <v>349</v>
      </c>
      <c r="J125" s="25" t="s">
        <v>1426</v>
      </c>
    </row>
    <row r="126" spans="1:16" x14ac:dyDescent="0.55000000000000004">
      <c r="A126" s="13" t="s">
        <v>350</v>
      </c>
      <c r="B126" t="s">
        <v>16</v>
      </c>
      <c r="C126" t="s">
        <v>351</v>
      </c>
      <c r="D126" t="s">
        <v>18</v>
      </c>
      <c r="F126" t="s">
        <v>33</v>
      </c>
      <c r="G126" t="s">
        <v>352</v>
      </c>
      <c r="I126" s="14" t="s">
        <v>353</v>
      </c>
      <c r="J126" s="25" t="s">
        <v>1468</v>
      </c>
      <c r="P126" t="s">
        <v>354</v>
      </c>
    </row>
    <row r="127" spans="1:16" x14ac:dyDescent="0.55000000000000004">
      <c r="A127" s="13" t="s">
        <v>355</v>
      </c>
      <c r="B127" t="s">
        <v>23</v>
      </c>
      <c r="C127" t="s">
        <v>351</v>
      </c>
      <c r="D127" t="s">
        <v>18</v>
      </c>
      <c r="F127" t="s">
        <v>33</v>
      </c>
      <c r="G127" t="s">
        <v>352</v>
      </c>
      <c r="I127" s="14" t="s">
        <v>356</v>
      </c>
      <c r="J127" s="25" t="s">
        <v>1468</v>
      </c>
      <c r="P127" t="s">
        <v>354</v>
      </c>
    </row>
    <row r="128" spans="1:16" x14ac:dyDescent="0.55000000000000004">
      <c r="A128" s="13" t="s">
        <v>357</v>
      </c>
      <c r="B128" t="s">
        <v>16</v>
      </c>
      <c r="C128" t="s">
        <v>351</v>
      </c>
      <c r="D128" t="s">
        <v>331</v>
      </c>
      <c r="F128" t="s">
        <v>33</v>
      </c>
      <c r="G128" t="s">
        <v>352</v>
      </c>
      <c r="I128" s="14" t="s">
        <v>358</v>
      </c>
      <c r="J128" s="25" t="s">
        <v>1441</v>
      </c>
      <c r="P128" t="s">
        <v>354</v>
      </c>
    </row>
    <row r="129" spans="1:12" x14ac:dyDescent="0.55000000000000004">
      <c r="A129" s="13" t="s">
        <v>359</v>
      </c>
      <c r="B129" t="s">
        <v>90</v>
      </c>
      <c r="C129" t="s">
        <v>360</v>
      </c>
      <c r="D129" t="s">
        <v>316</v>
      </c>
      <c r="F129" t="s">
        <v>361</v>
      </c>
      <c r="G129" t="s">
        <v>318</v>
      </c>
      <c r="I129" s="14" t="s">
        <v>362</v>
      </c>
      <c r="J129" s="25" t="s">
        <v>1426</v>
      </c>
    </row>
    <row r="130" spans="1:12" x14ac:dyDescent="0.55000000000000004">
      <c r="A130" s="13" t="s">
        <v>363</v>
      </c>
      <c r="B130" t="s">
        <v>16</v>
      </c>
      <c r="C130" t="s">
        <v>360</v>
      </c>
      <c r="D130" t="s">
        <v>321</v>
      </c>
      <c r="F130" t="s">
        <v>361</v>
      </c>
      <c r="G130" t="s">
        <v>364</v>
      </c>
      <c r="I130" s="14" t="s">
        <v>365</v>
      </c>
      <c r="J130" s="25" t="s">
        <v>1426</v>
      </c>
    </row>
    <row r="131" spans="1:12" x14ac:dyDescent="0.55000000000000004">
      <c r="A131" s="13" t="s">
        <v>366</v>
      </c>
      <c r="B131" t="s">
        <v>90</v>
      </c>
      <c r="C131" t="s">
        <v>367</v>
      </c>
      <c r="D131" t="s">
        <v>316</v>
      </c>
      <c r="F131" t="s">
        <v>317</v>
      </c>
      <c r="G131" t="s">
        <v>318</v>
      </c>
      <c r="I131" s="14" t="s">
        <v>368</v>
      </c>
      <c r="J131" s="25" t="s">
        <v>1426</v>
      </c>
    </row>
    <row r="132" spans="1:12" x14ac:dyDescent="0.55000000000000004">
      <c r="A132" s="13" t="s">
        <v>369</v>
      </c>
      <c r="B132" t="s">
        <v>16</v>
      </c>
      <c r="C132" t="s">
        <v>370</v>
      </c>
      <c r="D132" t="s">
        <v>18</v>
      </c>
      <c r="F132" t="s">
        <v>27</v>
      </c>
      <c r="G132" t="s">
        <v>340</v>
      </c>
      <c r="I132" s="14" t="s">
        <v>371</v>
      </c>
      <c r="J132" s="25" t="s">
        <v>1468</v>
      </c>
    </row>
    <row r="133" spans="1:12" x14ac:dyDescent="0.55000000000000004">
      <c r="A133" s="13" t="s">
        <v>372</v>
      </c>
      <c r="B133" t="s">
        <v>23</v>
      </c>
      <c r="C133" t="s">
        <v>370</v>
      </c>
      <c r="D133" t="s">
        <v>18</v>
      </c>
      <c r="F133" t="s">
        <v>27</v>
      </c>
      <c r="G133" t="s">
        <v>340</v>
      </c>
      <c r="I133" s="14" t="s">
        <v>373</v>
      </c>
      <c r="J133" s="25" t="s">
        <v>1468</v>
      </c>
    </row>
    <row r="134" spans="1:12" x14ac:dyDescent="0.55000000000000004">
      <c r="A134" s="13" t="s">
        <v>374</v>
      </c>
      <c r="B134" t="s">
        <v>16</v>
      </c>
      <c r="C134" t="s">
        <v>375</v>
      </c>
      <c r="D134" t="s">
        <v>18</v>
      </c>
      <c r="F134" t="s">
        <v>325</v>
      </c>
      <c r="G134" t="s">
        <v>326</v>
      </c>
      <c r="I134" s="14" t="s">
        <v>376</v>
      </c>
      <c r="J134" s="25" t="s">
        <v>1468</v>
      </c>
    </row>
    <row r="135" spans="1:12" x14ac:dyDescent="0.55000000000000004">
      <c r="A135" s="13" t="s">
        <v>377</v>
      </c>
      <c r="B135" t="s">
        <v>23</v>
      </c>
      <c r="C135" t="s">
        <v>375</v>
      </c>
      <c r="D135" t="s">
        <v>18</v>
      </c>
      <c r="F135" t="s">
        <v>325</v>
      </c>
      <c r="G135" t="s">
        <v>326</v>
      </c>
      <c r="I135" s="14" t="s">
        <v>378</v>
      </c>
      <c r="J135" s="25" t="s">
        <v>1468</v>
      </c>
    </row>
    <row r="136" spans="1:12" x14ac:dyDescent="0.55000000000000004">
      <c r="A136" s="13" t="s">
        <v>379</v>
      </c>
      <c r="B136" t="s">
        <v>16</v>
      </c>
      <c r="C136" t="s">
        <v>375</v>
      </c>
      <c r="D136" t="s">
        <v>331</v>
      </c>
      <c r="F136" t="s">
        <v>325</v>
      </c>
      <c r="G136" t="s">
        <v>326</v>
      </c>
      <c r="I136" s="14" t="s">
        <v>380</v>
      </c>
      <c r="J136" s="25" t="s">
        <v>1441</v>
      </c>
    </row>
    <row r="137" spans="1:12" x14ac:dyDescent="0.55000000000000004">
      <c r="A137" s="13" t="s">
        <v>381</v>
      </c>
      <c r="B137" t="s">
        <v>16</v>
      </c>
      <c r="C137" t="s">
        <v>375</v>
      </c>
      <c r="D137" t="s">
        <v>18</v>
      </c>
      <c r="F137" t="s">
        <v>169</v>
      </c>
      <c r="G137" t="s">
        <v>334</v>
      </c>
      <c r="I137" s="14" t="s">
        <v>382</v>
      </c>
      <c r="J137" s="25" t="s">
        <v>1468</v>
      </c>
    </row>
    <row r="138" spans="1:12" x14ac:dyDescent="0.55000000000000004">
      <c r="A138" s="13" t="s">
        <v>383</v>
      </c>
      <c r="B138" t="s">
        <v>23</v>
      </c>
      <c r="C138" t="s">
        <v>375</v>
      </c>
      <c r="D138" t="s">
        <v>18</v>
      </c>
      <c r="F138" t="s">
        <v>169</v>
      </c>
      <c r="G138" t="s">
        <v>334</v>
      </c>
      <c r="I138" s="14" t="s">
        <v>384</v>
      </c>
      <c r="J138" s="25" t="s">
        <v>1468</v>
      </c>
    </row>
    <row r="139" spans="1:12" x14ac:dyDescent="0.55000000000000004">
      <c r="A139" s="13" t="s">
        <v>385</v>
      </c>
      <c r="B139" t="s">
        <v>16</v>
      </c>
      <c r="C139" t="s">
        <v>386</v>
      </c>
      <c r="D139" t="s">
        <v>18</v>
      </c>
      <c r="F139" t="s">
        <v>27</v>
      </c>
      <c r="G139" t="s">
        <v>352</v>
      </c>
      <c r="I139" s="14" t="s">
        <v>387</v>
      </c>
      <c r="J139" s="25" t="s">
        <v>1468</v>
      </c>
    </row>
    <row r="140" spans="1:12" x14ac:dyDescent="0.55000000000000004">
      <c r="A140" s="13" t="s">
        <v>388</v>
      </c>
      <c r="B140" t="s">
        <v>23</v>
      </c>
      <c r="C140" t="s">
        <v>386</v>
      </c>
      <c r="D140" t="s">
        <v>18</v>
      </c>
      <c r="F140" t="s">
        <v>27</v>
      </c>
      <c r="G140" t="s">
        <v>352</v>
      </c>
      <c r="I140" s="14" t="s">
        <v>389</v>
      </c>
      <c r="J140" s="25" t="s">
        <v>1468</v>
      </c>
    </row>
    <row r="141" spans="1:12" x14ac:dyDescent="0.55000000000000004">
      <c r="A141" s="13" t="s">
        <v>390</v>
      </c>
      <c r="B141" t="s">
        <v>16</v>
      </c>
      <c r="C141" t="s">
        <v>386</v>
      </c>
      <c r="D141" t="s">
        <v>331</v>
      </c>
      <c r="F141" t="s">
        <v>27</v>
      </c>
      <c r="G141" t="s">
        <v>352</v>
      </c>
      <c r="I141" s="14" t="s">
        <v>391</v>
      </c>
      <c r="J141" s="25" t="s">
        <v>1441</v>
      </c>
    </row>
    <row r="142" spans="1:12" x14ac:dyDescent="0.55000000000000004">
      <c r="A142" s="13" t="s">
        <v>392</v>
      </c>
      <c r="B142" t="s">
        <v>16</v>
      </c>
      <c r="C142" t="s">
        <v>393</v>
      </c>
      <c r="D142" t="s">
        <v>18</v>
      </c>
      <c r="F142" t="s">
        <v>18</v>
      </c>
      <c r="G142" t="s">
        <v>394</v>
      </c>
      <c r="I142" s="14" t="s">
        <v>395</v>
      </c>
      <c r="J142" s="25" t="s">
        <v>1468</v>
      </c>
      <c r="L142" s="17" t="s">
        <v>396</v>
      </c>
    </row>
    <row r="143" spans="1:12" x14ac:dyDescent="0.55000000000000004">
      <c r="A143" s="13" t="s">
        <v>397</v>
      </c>
      <c r="B143" t="s">
        <v>23</v>
      </c>
      <c r="C143" t="s">
        <v>398</v>
      </c>
      <c r="D143" t="s">
        <v>18</v>
      </c>
      <c r="F143" t="s">
        <v>18</v>
      </c>
      <c r="G143" t="s">
        <v>394</v>
      </c>
      <c r="I143" s="14" t="s">
        <v>399</v>
      </c>
      <c r="J143" s="25" t="s">
        <v>1468</v>
      </c>
    </row>
    <row r="144" spans="1:12" x14ac:dyDescent="0.55000000000000004">
      <c r="A144" s="13" t="s">
        <v>400</v>
      </c>
      <c r="B144" t="s">
        <v>90</v>
      </c>
      <c r="C144" t="s">
        <v>401</v>
      </c>
      <c r="D144" t="s">
        <v>316</v>
      </c>
      <c r="F144" t="s">
        <v>402</v>
      </c>
      <c r="G144" t="s">
        <v>318</v>
      </c>
      <c r="I144" s="14" t="s">
        <v>403</v>
      </c>
      <c r="J144" s="25" t="s">
        <v>1426</v>
      </c>
    </row>
    <row r="145" spans="1:10" x14ac:dyDescent="0.55000000000000004">
      <c r="A145" s="13" t="s">
        <v>404</v>
      </c>
      <c r="B145" t="s">
        <v>16</v>
      </c>
      <c r="C145" t="s">
        <v>405</v>
      </c>
      <c r="D145" t="s">
        <v>18</v>
      </c>
      <c r="F145" t="s">
        <v>27</v>
      </c>
      <c r="G145" t="s">
        <v>352</v>
      </c>
      <c r="I145" s="14" t="s">
        <v>406</v>
      </c>
      <c r="J145" s="25" t="s">
        <v>1468</v>
      </c>
    </row>
    <row r="146" spans="1:10" x14ac:dyDescent="0.55000000000000004">
      <c r="A146" s="13" t="s">
        <v>407</v>
      </c>
      <c r="B146" t="s">
        <v>23</v>
      </c>
      <c r="C146" t="s">
        <v>405</v>
      </c>
      <c r="D146" t="s">
        <v>18</v>
      </c>
      <c r="F146" t="s">
        <v>27</v>
      </c>
      <c r="G146" t="s">
        <v>352</v>
      </c>
      <c r="I146" s="14" t="s">
        <v>408</v>
      </c>
      <c r="J146" s="25" t="s">
        <v>1468</v>
      </c>
    </row>
    <row r="147" spans="1:10" x14ac:dyDescent="0.55000000000000004">
      <c r="A147" s="13" t="s">
        <v>409</v>
      </c>
      <c r="B147" t="s">
        <v>16</v>
      </c>
      <c r="C147" t="s">
        <v>405</v>
      </c>
      <c r="D147" t="s">
        <v>331</v>
      </c>
      <c r="F147" t="s">
        <v>27</v>
      </c>
      <c r="G147" t="s">
        <v>352</v>
      </c>
      <c r="I147" s="14" t="s">
        <v>410</v>
      </c>
      <c r="J147" s="25" t="s">
        <v>1441</v>
      </c>
    </row>
    <row r="148" spans="1:10" x14ac:dyDescent="0.55000000000000004">
      <c r="A148" s="13" t="s">
        <v>411</v>
      </c>
      <c r="C148" t="s">
        <v>411</v>
      </c>
      <c r="G148" t="s">
        <v>312</v>
      </c>
      <c r="I148" s="14" t="s">
        <v>412</v>
      </c>
      <c r="J148" s="25" t="s">
        <v>312</v>
      </c>
    </row>
    <row r="149" spans="1:10" x14ac:dyDescent="0.55000000000000004">
      <c r="A149" s="13" t="s">
        <v>413</v>
      </c>
      <c r="B149" t="s">
        <v>90</v>
      </c>
      <c r="C149" t="s">
        <v>414</v>
      </c>
      <c r="D149" t="s">
        <v>316</v>
      </c>
      <c r="F149" t="s">
        <v>402</v>
      </c>
      <c r="G149" t="s">
        <v>318</v>
      </c>
      <c r="I149" s="14" t="s">
        <v>415</v>
      </c>
      <c r="J149" s="25" t="s">
        <v>1426</v>
      </c>
    </row>
    <row r="150" spans="1:10" x14ac:dyDescent="0.55000000000000004">
      <c r="A150" s="13" t="s">
        <v>416</v>
      </c>
      <c r="B150" t="s">
        <v>16</v>
      </c>
      <c r="C150" t="s">
        <v>417</v>
      </c>
      <c r="D150" t="s">
        <v>331</v>
      </c>
      <c r="F150" t="s">
        <v>418</v>
      </c>
      <c r="G150" t="s">
        <v>364</v>
      </c>
      <c r="I150" s="14" t="s">
        <v>419</v>
      </c>
      <c r="J150" s="25" t="s">
        <v>1426</v>
      </c>
    </row>
    <row r="151" spans="1:10" x14ac:dyDescent="0.55000000000000004">
      <c r="A151" s="13" t="s">
        <v>420</v>
      </c>
      <c r="B151" t="s">
        <v>90</v>
      </c>
      <c r="C151" t="s">
        <v>421</v>
      </c>
      <c r="D151" t="s">
        <v>316</v>
      </c>
      <c r="F151" t="s">
        <v>317</v>
      </c>
      <c r="G151" t="s">
        <v>318</v>
      </c>
      <c r="I151" s="14" t="s">
        <v>422</v>
      </c>
      <c r="J151" s="25" t="s">
        <v>1426</v>
      </c>
    </row>
    <row r="152" spans="1:10" x14ac:dyDescent="0.55000000000000004">
      <c r="A152" s="13" t="s">
        <v>423</v>
      </c>
      <c r="B152" t="s">
        <v>16</v>
      </c>
      <c r="C152" t="s">
        <v>421</v>
      </c>
      <c r="D152" t="s">
        <v>321</v>
      </c>
      <c r="F152" t="s">
        <v>317</v>
      </c>
      <c r="G152" t="s">
        <v>318</v>
      </c>
      <c r="I152" s="14" t="s">
        <v>424</v>
      </c>
      <c r="J152" s="25" t="s">
        <v>1426</v>
      </c>
    </row>
    <row r="153" spans="1:10" x14ac:dyDescent="0.55000000000000004">
      <c r="A153" s="13" t="s">
        <v>425</v>
      </c>
      <c r="B153" t="s">
        <v>16</v>
      </c>
      <c r="C153" t="s">
        <v>421</v>
      </c>
      <c r="D153" t="s">
        <v>18</v>
      </c>
      <c r="F153" t="s">
        <v>169</v>
      </c>
      <c r="G153" t="s">
        <v>334</v>
      </c>
      <c r="I153" s="14" t="s">
        <v>426</v>
      </c>
      <c r="J153" s="25" t="s">
        <v>1468</v>
      </c>
    </row>
    <row r="154" spans="1:10" x14ac:dyDescent="0.55000000000000004">
      <c r="A154" s="13" t="s">
        <v>427</v>
      </c>
      <c r="B154" t="s">
        <v>23</v>
      </c>
      <c r="C154" t="s">
        <v>421</v>
      </c>
      <c r="D154" t="s">
        <v>18</v>
      </c>
      <c r="F154" t="s">
        <v>169</v>
      </c>
      <c r="G154" t="s">
        <v>334</v>
      </c>
      <c r="I154" s="14" t="s">
        <v>428</v>
      </c>
      <c r="J154" s="25" t="s">
        <v>1468</v>
      </c>
    </row>
    <row r="155" spans="1:10" x14ac:dyDescent="0.55000000000000004">
      <c r="A155" s="13" t="s">
        <v>429</v>
      </c>
      <c r="B155" t="s">
        <v>16</v>
      </c>
      <c r="C155" t="s">
        <v>430</v>
      </c>
      <c r="D155" t="s">
        <v>18</v>
      </c>
      <c r="F155" t="s">
        <v>27</v>
      </c>
      <c r="G155" t="s">
        <v>340</v>
      </c>
      <c r="I155" s="14" t="s">
        <v>431</v>
      </c>
      <c r="J155" s="25" t="s">
        <v>1468</v>
      </c>
    </row>
    <row r="156" spans="1:10" x14ac:dyDescent="0.55000000000000004">
      <c r="A156" s="13" t="s">
        <v>432</v>
      </c>
      <c r="B156" t="s">
        <v>23</v>
      </c>
      <c r="C156" t="s">
        <v>430</v>
      </c>
      <c r="D156" t="s">
        <v>18</v>
      </c>
      <c r="F156" t="s">
        <v>27</v>
      </c>
      <c r="G156" t="s">
        <v>340</v>
      </c>
      <c r="I156" s="14" t="s">
        <v>433</v>
      </c>
      <c r="J156" s="25" t="s">
        <v>1468</v>
      </c>
    </row>
    <row r="157" spans="1:10" x14ac:dyDescent="0.55000000000000004">
      <c r="A157" s="13" t="s">
        <v>434</v>
      </c>
      <c r="B157" t="s">
        <v>16</v>
      </c>
      <c r="C157" t="s">
        <v>421</v>
      </c>
      <c r="D157" t="s">
        <v>331</v>
      </c>
      <c r="F157" t="s">
        <v>345</v>
      </c>
      <c r="G157" t="s">
        <v>318</v>
      </c>
      <c r="I157" s="14" t="s">
        <v>435</v>
      </c>
      <c r="J157" s="25" t="s">
        <v>1426</v>
      </c>
    </row>
    <row r="158" spans="1:10" x14ac:dyDescent="0.55000000000000004">
      <c r="A158" s="13" t="s">
        <v>436</v>
      </c>
      <c r="B158" t="s">
        <v>16</v>
      </c>
      <c r="C158" t="s">
        <v>421</v>
      </c>
      <c r="D158" t="s">
        <v>331</v>
      </c>
      <c r="F158" t="s">
        <v>348</v>
      </c>
      <c r="G158" t="s">
        <v>318</v>
      </c>
      <c r="I158" s="14" t="s">
        <v>437</v>
      </c>
      <c r="J158" s="25" t="s">
        <v>1426</v>
      </c>
    </row>
    <row r="159" spans="1:10" x14ac:dyDescent="0.55000000000000004">
      <c r="A159" s="13" t="s">
        <v>438</v>
      </c>
      <c r="B159" t="s">
        <v>16</v>
      </c>
      <c r="C159" t="s">
        <v>439</v>
      </c>
      <c r="D159" t="s">
        <v>18</v>
      </c>
      <c r="F159" t="s">
        <v>33</v>
      </c>
      <c r="G159" t="s">
        <v>352</v>
      </c>
      <c r="I159" s="14" t="s">
        <v>440</v>
      </c>
      <c r="J159" s="25" t="s">
        <v>1468</v>
      </c>
    </row>
    <row r="160" spans="1:10" x14ac:dyDescent="0.55000000000000004">
      <c r="A160" s="13" t="s">
        <v>441</v>
      </c>
      <c r="B160" t="s">
        <v>23</v>
      </c>
      <c r="C160" t="s">
        <v>439</v>
      </c>
      <c r="D160" t="s">
        <v>18</v>
      </c>
      <c r="F160" t="s">
        <v>33</v>
      </c>
      <c r="G160" t="s">
        <v>352</v>
      </c>
      <c r="I160" s="14" t="s">
        <v>442</v>
      </c>
      <c r="J160" s="25" t="s">
        <v>1468</v>
      </c>
    </row>
    <row r="161" spans="1:13" x14ac:dyDescent="0.55000000000000004">
      <c r="A161" s="13" t="s">
        <v>443</v>
      </c>
      <c r="B161" t="s">
        <v>16</v>
      </c>
      <c r="C161" t="s">
        <v>439</v>
      </c>
      <c r="D161" t="s">
        <v>331</v>
      </c>
      <c r="F161" t="s">
        <v>33</v>
      </c>
      <c r="G161" t="s">
        <v>352</v>
      </c>
      <c r="I161" s="14" t="s">
        <v>444</v>
      </c>
      <c r="J161" s="25" t="s">
        <v>1441</v>
      </c>
    </row>
    <row r="162" spans="1:13" x14ac:dyDescent="0.55000000000000004">
      <c r="A162" s="13" t="s">
        <v>445</v>
      </c>
      <c r="B162" t="s">
        <v>16</v>
      </c>
      <c r="C162" t="s">
        <v>446</v>
      </c>
      <c r="D162" t="s">
        <v>18</v>
      </c>
      <c r="F162" t="s">
        <v>169</v>
      </c>
      <c r="G162" t="s">
        <v>334</v>
      </c>
      <c r="I162" s="14" t="s">
        <v>447</v>
      </c>
      <c r="J162" s="25" t="s">
        <v>1468</v>
      </c>
      <c r="L162" s="17" t="s">
        <v>396</v>
      </c>
      <c r="M162" s="17" t="s">
        <v>323</v>
      </c>
    </row>
    <row r="163" spans="1:13" x14ac:dyDescent="0.55000000000000004">
      <c r="A163" s="13" t="s">
        <v>448</v>
      </c>
      <c r="B163" t="s">
        <v>23</v>
      </c>
      <c r="C163" t="s">
        <v>446</v>
      </c>
      <c r="D163" t="s">
        <v>18</v>
      </c>
      <c r="F163" t="s">
        <v>169</v>
      </c>
      <c r="G163" t="s">
        <v>334</v>
      </c>
      <c r="I163" s="14" t="s">
        <v>449</v>
      </c>
      <c r="J163" s="25" t="s">
        <v>1468</v>
      </c>
    </row>
    <row r="164" spans="1:13" x14ac:dyDescent="0.55000000000000004">
      <c r="A164" s="13" t="s">
        <v>450</v>
      </c>
      <c r="B164" t="s">
        <v>90</v>
      </c>
      <c r="C164" t="s">
        <v>451</v>
      </c>
      <c r="D164" t="s">
        <v>316</v>
      </c>
      <c r="F164" t="s">
        <v>402</v>
      </c>
      <c r="G164" t="s">
        <v>318</v>
      </c>
      <c r="I164" s="14" t="s">
        <v>452</v>
      </c>
      <c r="J164" s="25" t="s">
        <v>1426</v>
      </c>
    </row>
    <row r="165" spans="1:13" x14ac:dyDescent="0.55000000000000004">
      <c r="A165" s="13" t="s">
        <v>453</v>
      </c>
      <c r="B165" t="s">
        <v>16</v>
      </c>
      <c r="C165" t="s">
        <v>454</v>
      </c>
      <c r="D165" t="s">
        <v>331</v>
      </c>
      <c r="F165" t="s">
        <v>345</v>
      </c>
      <c r="G165" t="s">
        <v>318</v>
      </c>
      <c r="I165" s="14" t="s">
        <v>455</v>
      </c>
      <c r="J165" s="25" t="s">
        <v>1426</v>
      </c>
    </row>
    <row r="166" spans="1:13" x14ac:dyDescent="0.55000000000000004">
      <c r="A166" s="13" t="s">
        <v>456</v>
      </c>
      <c r="B166" t="s">
        <v>90</v>
      </c>
      <c r="C166" t="s">
        <v>454</v>
      </c>
      <c r="D166" t="s">
        <v>316</v>
      </c>
      <c r="F166" t="s">
        <v>317</v>
      </c>
      <c r="G166" t="s">
        <v>318</v>
      </c>
      <c r="I166" s="14" t="s">
        <v>457</v>
      </c>
      <c r="J166" s="25" t="s">
        <v>1426</v>
      </c>
    </row>
    <row r="167" spans="1:13" x14ac:dyDescent="0.55000000000000004">
      <c r="A167" s="13" t="s">
        <v>458</v>
      </c>
      <c r="B167" t="s">
        <v>16</v>
      </c>
      <c r="C167" t="s">
        <v>454</v>
      </c>
      <c r="D167" t="s">
        <v>321</v>
      </c>
      <c r="F167" t="s">
        <v>317</v>
      </c>
      <c r="G167" t="s">
        <v>318</v>
      </c>
      <c r="I167" s="14" t="s">
        <v>459</v>
      </c>
      <c r="J167" s="25" t="s">
        <v>1426</v>
      </c>
    </row>
    <row r="168" spans="1:13" x14ac:dyDescent="0.55000000000000004">
      <c r="A168" s="13" t="s">
        <v>460</v>
      </c>
      <c r="B168" t="s">
        <v>90</v>
      </c>
      <c r="C168" t="s">
        <v>461</v>
      </c>
      <c r="D168" t="s">
        <v>316</v>
      </c>
      <c r="F168" t="s">
        <v>317</v>
      </c>
      <c r="G168" t="s">
        <v>318</v>
      </c>
      <c r="I168" s="14" t="s">
        <v>462</v>
      </c>
      <c r="J168" s="25" t="s">
        <v>1426</v>
      </c>
    </row>
    <row r="169" spans="1:13" x14ac:dyDescent="0.55000000000000004">
      <c r="A169" s="13" t="s">
        <v>463</v>
      </c>
      <c r="B169" t="s">
        <v>16</v>
      </c>
      <c r="C169" t="s">
        <v>461</v>
      </c>
      <c r="D169" t="s">
        <v>321</v>
      </c>
      <c r="F169" t="s">
        <v>317</v>
      </c>
      <c r="G169" t="s">
        <v>318</v>
      </c>
      <c r="I169" s="14" t="s">
        <v>464</v>
      </c>
      <c r="J169" s="25" t="s">
        <v>1426</v>
      </c>
    </row>
    <row r="170" spans="1:13" x14ac:dyDescent="0.55000000000000004">
      <c r="A170" s="13" t="s">
        <v>465</v>
      </c>
      <c r="B170" t="s">
        <v>16</v>
      </c>
      <c r="C170" t="s">
        <v>454</v>
      </c>
      <c r="D170" t="s">
        <v>331</v>
      </c>
      <c r="F170" t="s">
        <v>348</v>
      </c>
      <c r="G170" t="s">
        <v>318</v>
      </c>
      <c r="I170" s="14" t="s">
        <v>466</v>
      </c>
      <c r="J170" s="25" t="s">
        <v>1426</v>
      </c>
    </row>
    <row r="171" spans="1:13" x14ac:dyDescent="0.55000000000000004">
      <c r="A171" s="13" t="s">
        <v>467</v>
      </c>
      <c r="C171" t="s">
        <v>467</v>
      </c>
      <c r="G171" t="s">
        <v>312</v>
      </c>
      <c r="I171" s="14" t="s">
        <v>467</v>
      </c>
      <c r="J171" s="25" t="s">
        <v>312</v>
      </c>
    </row>
    <row r="172" spans="1:13" x14ac:dyDescent="0.55000000000000004">
      <c r="A172" s="13" t="s">
        <v>468</v>
      </c>
      <c r="C172" t="s">
        <v>467</v>
      </c>
      <c r="G172" t="s">
        <v>469</v>
      </c>
      <c r="I172" s="14" t="s">
        <v>468</v>
      </c>
      <c r="J172" s="25" t="s">
        <v>312</v>
      </c>
    </row>
    <row r="173" spans="1:13" x14ac:dyDescent="0.55000000000000004">
      <c r="A173" s="13" t="s">
        <v>470</v>
      </c>
      <c r="B173" t="s">
        <v>16</v>
      </c>
      <c r="C173" t="s">
        <v>471</v>
      </c>
      <c r="D173" t="s">
        <v>18</v>
      </c>
      <c r="F173" t="s">
        <v>325</v>
      </c>
      <c r="G173" t="s">
        <v>326</v>
      </c>
      <c r="I173" s="14" t="s">
        <v>472</v>
      </c>
      <c r="J173" s="25" t="s">
        <v>1468</v>
      </c>
    </row>
    <row r="174" spans="1:13" x14ac:dyDescent="0.55000000000000004">
      <c r="A174" s="13" t="s">
        <v>473</v>
      </c>
      <c r="B174" t="s">
        <v>23</v>
      </c>
      <c r="C174" t="s">
        <v>471</v>
      </c>
      <c r="D174" t="s">
        <v>18</v>
      </c>
      <c r="F174" t="s">
        <v>325</v>
      </c>
      <c r="G174" t="s">
        <v>326</v>
      </c>
      <c r="I174" s="14" t="s">
        <v>474</v>
      </c>
      <c r="J174" s="25" t="s">
        <v>1468</v>
      </c>
    </row>
    <row r="175" spans="1:13" x14ac:dyDescent="0.55000000000000004">
      <c r="A175" s="13" t="s">
        <v>475</v>
      </c>
      <c r="B175" t="s">
        <v>16</v>
      </c>
      <c r="C175" t="s">
        <v>471</v>
      </c>
      <c r="D175" t="s">
        <v>331</v>
      </c>
      <c r="F175" t="s">
        <v>325</v>
      </c>
      <c r="G175" t="s">
        <v>326</v>
      </c>
      <c r="I175" s="14" t="s">
        <v>476</v>
      </c>
      <c r="J175" s="25" t="s">
        <v>1441</v>
      </c>
    </row>
    <row r="176" spans="1:13" x14ac:dyDescent="0.55000000000000004">
      <c r="A176" s="13" t="s">
        <v>477</v>
      </c>
      <c r="B176" t="s">
        <v>16</v>
      </c>
      <c r="C176" t="s">
        <v>478</v>
      </c>
      <c r="D176" t="s">
        <v>18</v>
      </c>
      <c r="F176" t="s">
        <v>27</v>
      </c>
      <c r="G176" t="s">
        <v>340</v>
      </c>
      <c r="I176" s="14" t="s">
        <v>479</v>
      </c>
      <c r="J176" s="25" t="s">
        <v>1468</v>
      </c>
    </row>
    <row r="177" spans="1:10" x14ac:dyDescent="0.55000000000000004">
      <c r="A177" s="13" t="s">
        <v>480</v>
      </c>
      <c r="B177" t="s">
        <v>23</v>
      </c>
      <c r="C177" t="s">
        <v>478</v>
      </c>
      <c r="D177" t="s">
        <v>18</v>
      </c>
      <c r="F177" t="s">
        <v>27</v>
      </c>
      <c r="G177" t="s">
        <v>340</v>
      </c>
      <c r="I177" s="14" t="s">
        <v>481</v>
      </c>
      <c r="J177" s="25" t="s">
        <v>1468</v>
      </c>
    </row>
    <row r="178" spans="1:10" x14ac:dyDescent="0.55000000000000004">
      <c r="A178" s="13" t="s">
        <v>482</v>
      </c>
      <c r="B178" t="s">
        <v>16</v>
      </c>
      <c r="C178" t="s">
        <v>471</v>
      </c>
      <c r="D178" t="s">
        <v>18</v>
      </c>
      <c r="F178" t="s">
        <v>27</v>
      </c>
      <c r="G178" t="s">
        <v>352</v>
      </c>
      <c r="I178" s="14" t="s">
        <v>483</v>
      </c>
      <c r="J178" s="25" t="s">
        <v>1468</v>
      </c>
    </row>
    <row r="179" spans="1:10" x14ac:dyDescent="0.55000000000000004">
      <c r="A179" s="13" t="s">
        <v>484</v>
      </c>
      <c r="B179" t="s">
        <v>23</v>
      </c>
      <c r="C179" t="s">
        <v>471</v>
      </c>
      <c r="D179" t="s">
        <v>18</v>
      </c>
      <c r="F179" t="s">
        <v>27</v>
      </c>
      <c r="G179" t="s">
        <v>352</v>
      </c>
      <c r="I179" s="14" t="s">
        <v>485</v>
      </c>
      <c r="J179" s="25" t="s">
        <v>1468</v>
      </c>
    </row>
    <row r="180" spans="1:10" x14ac:dyDescent="0.55000000000000004">
      <c r="A180" s="13" t="s">
        <v>486</v>
      </c>
      <c r="B180" t="s">
        <v>16</v>
      </c>
      <c r="C180" t="s">
        <v>471</v>
      </c>
      <c r="D180" t="s">
        <v>331</v>
      </c>
      <c r="F180" t="s">
        <v>27</v>
      </c>
      <c r="G180" t="s">
        <v>352</v>
      </c>
      <c r="I180" s="14" t="s">
        <v>487</v>
      </c>
      <c r="J180" s="25" t="s">
        <v>1441</v>
      </c>
    </row>
    <row r="181" spans="1:10" x14ac:dyDescent="0.55000000000000004">
      <c r="A181" s="13" t="s">
        <v>488</v>
      </c>
      <c r="B181" t="s">
        <v>90</v>
      </c>
      <c r="C181" t="s">
        <v>489</v>
      </c>
      <c r="D181" t="s">
        <v>316</v>
      </c>
      <c r="F181" t="s">
        <v>317</v>
      </c>
      <c r="G181" t="s">
        <v>318</v>
      </c>
      <c r="I181" s="14" t="s">
        <v>490</v>
      </c>
      <c r="J181" s="25" t="s">
        <v>1426</v>
      </c>
    </row>
    <row r="182" spans="1:10" x14ac:dyDescent="0.55000000000000004">
      <c r="A182" s="13" t="s">
        <v>491</v>
      </c>
      <c r="B182" t="s">
        <v>16</v>
      </c>
      <c r="C182" t="s">
        <v>489</v>
      </c>
      <c r="D182" t="s">
        <v>321</v>
      </c>
      <c r="F182" t="s">
        <v>317</v>
      </c>
      <c r="G182" t="s">
        <v>492</v>
      </c>
      <c r="I182" s="14" t="s">
        <v>493</v>
      </c>
      <c r="J182" s="25" t="s">
        <v>1426</v>
      </c>
    </row>
    <row r="183" spans="1:10" x14ac:dyDescent="0.55000000000000004">
      <c r="A183" s="13" t="s">
        <v>494</v>
      </c>
      <c r="B183" t="s">
        <v>16</v>
      </c>
      <c r="C183" t="s">
        <v>495</v>
      </c>
      <c r="D183" t="s">
        <v>18</v>
      </c>
      <c r="F183" t="s">
        <v>27</v>
      </c>
      <c r="G183" t="s">
        <v>352</v>
      </c>
      <c r="I183" s="14" t="s">
        <v>496</v>
      </c>
      <c r="J183" s="25" t="s">
        <v>1468</v>
      </c>
    </row>
    <row r="184" spans="1:10" x14ac:dyDescent="0.55000000000000004">
      <c r="A184" s="13" t="s">
        <v>497</v>
      </c>
      <c r="B184" t="s">
        <v>23</v>
      </c>
      <c r="C184" t="s">
        <v>495</v>
      </c>
      <c r="D184" t="s">
        <v>18</v>
      </c>
      <c r="F184" t="s">
        <v>27</v>
      </c>
      <c r="G184" t="s">
        <v>352</v>
      </c>
      <c r="I184" s="14" t="s">
        <v>498</v>
      </c>
      <c r="J184" s="25" t="s">
        <v>1468</v>
      </c>
    </row>
    <row r="185" spans="1:10" x14ac:dyDescent="0.55000000000000004">
      <c r="A185" s="13" t="s">
        <v>499</v>
      </c>
      <c r="B185" t="s">
        <v>16</v>
      </c>
      <c r="C185" t="s">
        <v>495</v>
      </c>
      <c r="D185" t="s">
        <v>331</v>
      </c>
      <c r="F185" t="s">
        <v>27</v>
      </c>
      <c r="G185" t="s">
        <v>352</v>
      </c>
      <c r="I185" s="14" t="s">
        <v>500</v>
      </c>
      <c r="J185" s="25" t="s">
        <v>1441</v>
      </c>
    </row>
    <row r="186" spans="1:10" x14ac:dyDescent="0.55000000000000004">
      <c r="A186" s="13" t="s">
        <v>501</v>
      </c>
      <c r="B186" t="s">
        <v>16</v>
      </c>
      <c r="C186" t="s">
        <v>502</v>
      </c>
      <c r="D186" t="s">
        <v>18</v>
      </c>
      <c r="F186" t="s">
        <v>325</v>
      </c>
      <c r="G186" t="s">
        <v>326</v>
      </c>
      <c r="I186" s="14" t="s">
        <v>503</v>
      </c>
      <c r="J186" s="25" t="s">
        <v>1468</v>
      </c>
    </row>
    <row r="187" spans="1:10" x14ac:dyDescent="0.55000000000000004">
      <c r="A187" s="13" t="s">
        <v>504</v>
      </c>
      <c r="B187" t="s">
        <v>23</v>
      </c>
      <c r="C187" t="s">
        <v>502</v>
      </c>
      <c r="D187" t="s">
        <v>18</v>
      </c>
      <c r="F187" t="s">
        <v>325</v>
      </c>
      <c r="G187" t="s">
        <v>326</v>
      </c>
      <c r="I187" s="14" t="s">
        <v>505</v>
      </c>
      <c r="J187" s="25" t="s">
        <v>1468</v>
      </c>
    </row>
    <row r="188" spans="1:10" x14ac:dyDescent="0.55000000000000004">
      <c r="A188" s="13" t="s">
        <v>506</v>
      </c>
      <c r="B188" t="s">
        <v>16</v>
      </c>
      <c r="C188" t="s">
        <v>502</v>
      </c>
      <c r="D188" t="s">
        <v>331</v>
      </c>
      <c r="F188" t="s">
        <v>325</v>
      </c>
      <c r="G188" t="s">
        <v>326</v>
      </c>
      <c r="I188" s="14" t="s">
        <v>507</v>
      </c>
      <c r="J188" s="25" t="s">
        <v>1441</v>
      </c>
    </row>
    <row r="189" spans="1:10" x14ac:dyDescent="0.55000000000000004">
      <c r="A189" s="13" t="s">
        <v>508</v>
      </c>
      <c r="B189" t="s">
        <v>16</v>
      </c>
      <c r="C189" t="s">
        <v>509</v>
      </c>
      <c r="D189" t="s">
        <v>18</v>
      </c>
      <c r="F189" t="s">
        <v>169</v>
      </c>
      <c r="G189" t="s">
        <v>334</v>
      </c>
      <c r="I189" s="14" t="s">
        <v>510</v>
      </c>
      <c r="J189" s="25" t="s">
        <v>1468</v>
      </c>
    </row>
    <row r="190" spans="1:10" x14ac:dyDescent="0.55000000000000004">
      <c r="A190" s="13" t="s">
        <v>511</v>
      </c>
      <c r="B190" t="s">
        <v>23</v>
      </c>
      <c r="C190" t="s">
        <v>509</v>
      </c>
      <c r="D190" t="s">
        <v>18</v>
      </c>
      <c r="F190" t="s">
        <v>169</v>
      </c>
      <c r="G190" t="s">
        <v>334</v>
      </c>
      <c r="I190" s="14" t="s">
        <v>512</v>
      </c>
      <c r="J190" s="25" t="s">
        <v>1468</v>
      </c>
    </row>
    <row r="191" spans="1:10" x14ac:dyDescent="0.55000000000000004">
      <c r="A191" s="13" t="s">
        <v>513</v>
      </c>
      <c r="B191" t="s">
        <v>16</v>
      </c>
      <c r="C191" t="s">
        <v>514</v>
      </c>
      <c r="D191" t="s">
        <v>18</v>
      </c>
      <c r="F191" t="s">
        <v>27</v>
      </c>
      <c r="G191" t="s">
        <v>340</v>
      </c>
      <c r="I191" s="14" t="s">
        <v>515</v>
      </c>
      <c r="J191" s="25" t="s">
        <v>1468</v>
      </c>
    </row>
    <row r="192" spans="1:10" x14ac:dyDescent="0.55000000000000004">
      <c r="A192" s="13" t="s">
        <v>516</v>
      </c>
      <c r="B192" t="s">
        <v>23</v>
      </c>
      <c r="C192" t="s">
        <v>514</v>
      </c>
      <c r="D192" t="s">
        <v>18</v>
      </c>
      <c r="F192" t="s">
        <v>27</v>
      </c>
      <c r="G192" t="s">
        <v>340</v>
      </c>
      <c r="I192" s="14" t="s">
        <v>517</v>
      </c>
      <c r="J192" s="25" t="s">
        <v>1468</v>
      </c>
    </row>
    <row r="193" spans="1:16" x14ac:dyDescent="0.55000000000000004">
      <c r="A193" s="13" t="s">
        <v>518</v>
      </c>
      <c r="B193" t="s">
        <v>16</v>
      </c>
      <c r="C193" t="s">
        <v>502</v>
      </c>
      <c r="D193" t="s">
        <v>18</v>
      </c>
      <c r="F193" t="s">
        <v>27</v>
      </c>
      <c r="G193" t="s">
        <v>352</v>
      </c>
      <c r="I193" s="14" t="s">
        <v>519</v>
      </c>
      <c r="J193" s="25" t="s">
        <v>1468</v>
      </c>
      <c r="P193" t="s">
        <v>354</v>
      </c>
    </row>
    <row r="194" spans="1:16" x14ac:dyDescent="0.55000000000000004">
      <c r="A194" s="13" t="s">
        <v>520</v>
      </c>
      <c r="B194" t="s">
        <v>23</v>
      </c>
      <c r="C194" t="s">
        <v>502</v>
      </c>
      <c r="D194" t="s">
        <v>18</v>
      </c>
      <c r="F194" t="s">
        <v>27</v>
      </c>
      <c r="G194" t="s">
        <v>352</v>
      </c>
      <c r="I194" s="14" t="s">
        <v>521</v>
      </c>
      <c r="J194" s="25" t="s">
        <v>1468</v>
      </c>
      <c r="P194" t="s">
        <v>354</v>
      </c>
    </row>
    <row r="195" spans="1:16" x14ac:dyDescent="0.55000000000000004">
      <c r="A195" s="13" t="s">
        <v>522</v>
      </c>
      <c r="B195" t="s">
        <v>16</v>
      </c>
      <c r="C195" t="s">
        <v>502</v>
      </c>
      <c r="D195" t="s">
        <v>331</v>
      </c>
      <c r="F195" t="s">
        <v>27</v>
      </c>
      <c r="G195" t="s">
        <v>352</v>
      </c>
      <c r="I195" s="14" t="s">
        <v>523</v>
      </c>
      <c r="J195" s="25" t="s">
        <v>1441</v>
      </c>
      <c r="P195" t="s">
        <v>354</v>
      </c>
    </row>
    <row r="196" spans="1:16" x14ac:dyDescent="0.55000000000000004">
      <c r="A196" s="13" t="s">
        <v>524</v>
      </c>
      <c r="B196" t="s">
        <v>90</v>
      </c>
      <c r="C196" t="s">
        <v>525</v>
      </c>
      <c r="D196" t="s">
        <v>316</v>
      </c>
      <c r="F196" t="s">
        <v>317</v>
      </c>
      <c r="G196" t="s">
        <v>318</v>
      </c>
      <c r="I196" s="14" t="s">
        <v>526</v>
      </c>
      <c r="J196" s="25" t="s">
        <v>1426</v>
      </c>
    </row>
    <row r="197" spans="1:16" x14ac:dyDescent="0.55000000000000004">
      <c r="A197" s="13" t="s">
        <v>527</v>
      </c>
      <c r="B197" t="s">
        <v>90</v>
      </c>
      <c r="C197" t="s">
        <v>528</v>
      </c>
      <c r="D197" t="s">
        <v>316</v>
      </c>
      <c r="F197" t="s">
        <v>317</v>
      </c>
      <c r="G197" t="s">
        <v>318</v>
      </c>
      <c r="I197" s="14" t="s">
        <v>529</v>
      </c>
      <c r="J197" s="25" t="s">
        <v>1426</v>
      </c>
    </row>
    <row r="198" spans="1:16" x14ac:dyDescent="0.55000000000000004">
      <c r="A198" s="13" t="s">
        <v>530</v>
      </c>
      <c r="C198" t="s">
        <v>531</v>
      </c>
      <c r="D198" t="s">
        <v>316</v>
      </c>
      <c r="F198" t="s">
        <v>532</v>
      </c>
      <c r="G198" t="s">
        <v>469</v>
      </c>
      <c r="I198" s="14" t="s">
        <v>533</v>
      </c>
      <c r="J198" s="25" t="s">
        <v>1431</v>
      </c>
      <c r="L198" t="s">
        <v>560</v>
      </c>
      <c r="M198" t="s">
        <v>323</v>
      </c>
    </row>
    <row r="199" spans="1:16" x14ac:dyDescent="0.55000000000000004">
      <c r="A199" s="13" t="s">
        <v>534</v>
      </c>
      <c r="C199" t="s">
        <v>535</v>
      </c>
      <c r="F199" t="s">
        <v>532</v>
      </c>
      <c r="G199" t="s">
        <v>536</v>
      </c>
      <c r="I199" s="14" t="s">
        <v>537</v>
      </c>
      <c r="J199" s="25" t="s">
        <v>536</v>
      </c>
      <c r="L199" t="s">
        <v>538</v>
      </c>
      <c r="M199" t="s">
        <v>323</v>
      </c>
    </row>
    <row r="200" spans="1:16" x14ac:dyDescent="0.55000000000000004">
      <c r="A200" s="13" t="s">
        <v>539</v>
      </c>
      <c r="C200" t="s">
        <v>539</v>
      </c>
      <c r="G200" t="s">
        <v>312</v>
      </c>
      <c r="I200" s="14" t="s">
        <v>540</v>
      </c>
      <c r="J200" s="25" t="s">
        <v>312</v>
      </c>
    </row>
    <row r="201" spans="1:16" x14ac:dyDescent="0.55000000000000004">
      <c r="A201" s="13" t="s">
        <v>541</v>
      </c>
      <c r="B201" t="s">
        <v>90</v>
      </c>
      <c r="C201" t="s">
        <v>542</v>
      </c>
      <c r="D201" t="s">
        <v>316</v>
      </c>
      <c r="F201" t="s">
        <v>543</v>
      </c>
      <c r="G201" t="s">
        <v>318</v>
      </c>
      <c r="I201" s="14" t="s">
        <v>544</v>
      </c>
      <c r="J201" s="25" t="s">
        <v>1426</v>
      </c>
    </row>
    <row r="202" spans="1:16" x14ac:dyDescent="0.55000000000000004">
      <c r="A202" s="13" t="s">
        <v>545</v>
      </c>
      <c r="B202" t="s">
        <v>16</v>
      </c>
      <c r="C202" t="s">
        <v>542</v>
      </c>
      <c r="D202" t="s">
        <v>321</v>
      </c>
      <c r="F202" t="s">
        <v>543</v>
      </c>
      <c r="G202" t="s">
        <v>364</v>
      </c>
      <c r="I202" s="14" t="s">
        <v>546</v>
      </c>
      <c r="J202" s="25" t="s">
        <v>1426</v>
      </c>
    </row>
    <row r="203" spans="1:16" x14ac:dyDescent="0.55000000000000004">
      <c r="A203" s="13" t="s">
        <v>547</v>
      </c>
      <c r="B203" t="s">
        <v>90</v>
      </c>
      <c r="C203" t="s">
        <v>548</v>
      </c>
      <c r="D203" t="s">
        <v>316</v>
      </c>
      <c r="G203" t="s">
        <v>318</v>
      </c>
      <c r="I203" s="14" t="s">
        <v>549</v>
      </c>
      <c r="J203" s="25" t="s">
        <v>1426</v>
      </c>
      <c r="M203" t="s">
        <v>550</v>
      </c>
    </row>
    <row r="204" spans="1:16" x14ac:dyDescent="0.55000000000000004">
      <c r="A204" s="13" t="s">
        <v>551</v>
      </c>
      <c r="B204" t="s">
        <v>16</v>
      </c>
      <c r="C204" t="s">
        <v>552</v>
      </c>
      <c r="D204" t="s">
        <v>321</v>
      </c>
      <c r="G204" t="s">
        <v>364</v>
      </c>
      <c r="I204" s="14" t="s">
        <v>553</v>
      </c>
      <c r="J204" s="25" t="s">
        <v>1426</v>
      </c>
    </row>
    <row r="205" spans="1:16" x14ac:dyDescent="0.55000000000000004">
      <c r="A205" s="13" t="s">
        <v>554</v>
      </c>
      <c r="B205" t="s">
        <v>16</v>
      </c>
      <c r="C205" t="s">
        <v>555</v>
      </c>
      <c r="D205" t="s">
        <v>331</v>
      </c>
      <c r="F205" t="s">
        <v>556</v>
      </c>
      <c r="G205" t="s">
        <v>318</v>
      </c>
      <c r="I205" s="14" t="s">
        <v>557</v>
      </c>
      <c r="J205" s="25" t="s">
        <v>1426</v>
      </c>
    </row>
    <row r="206" spans="1:16" x14ac:dyDescent="0.55000000000000004">
      <c r="A206" s="13" t="s">
        <v>558</v>
      </c>
      <c r="B206" t="s">
        <v>16</v>
      </c>
      <c r="C206" t="s">
        <v>555</v>
      </c>
      <c r="D206" t="s">
        <v>321</v>
      </c>
      <c r="F206" t="s">
        <v>321</v>
      </c>
      <c r="G206" t="s">
        <v>318</v>
      </c>
      <c r="I206" s="14" t="s">
        <v>559</v>
      </c>
      <c r="J206" s="25" t="s">
        <v>1426</v>
      </c>
      <c r="L206" s="17" t="s">
        <v>560</v>
      </c>
      <c r="M206" s="17" t="s">
        <v>323</v>
      </c>
    </row>
    <row r="207" spans="1:16" x14ac:dyDescent="0.55000000000000004">
      <c r="A207" s="13" t="s">
        <v>561</v>
      </c>
      <c r="B207" t="s">
        <v>16</v>
      </c>
      <c r="C207" t="s">
        <v>562</v>
      </c>
      <c r="D207" t="s">
        <v>331</v>
      </c>
      <c r="F207" t="s">
        <v>556</v>
      </c>
      <c r="G207" t="s">
        <v>318</v>
      </c>
      <c r="I207" s="14" t="s">
        <v>563</v>
      </c>
      <c r="J207" s="25" t="s">
        <v>1426</v>
      </c>
    </row>
    <row r="208" spans="1:16" x14ac:dyDescent="0.55000000000000004">
      <c r="A208" s="13" t="s">
        <v>564</v>
      </c>
      <c r="B208" t="s">
        <v>90</v>
      </c>
      <c r="C208" t="s">
        <v>565</v>
      </c>
      <c r="D208" t="s">
        <v>316</v>
      </c>
      <c r="F208" t="s">
        <v>317</v>
      </c>
      <c r="G208" t="s">
        <v>318</v>
      </c>
      <c r="I208" s="14" t="s">
        <v>566</v>
      </c>
      <c r="J208" s="25" t="s">
        <v>1426</v>
      </c>
    </row>
    <row r="209" spans="1:14" x14ac:dyDescent="0.55000000000000004">
      <c r="A209" s="13" t="s">
        <v>567</v>
      </c>
      <c r="B209" t="s">
        <v>16</v>
      </c>
      <c r="C209" t="s">
        <v>565</v>
      </c>
      <c r="D209" t="s">
        <v>321</v>
      </c>
      <c r="F209" t="s">
        <v>317</v>
      </c>
      <c r="G209" t="s">
        <v>318</v>
      </c>
      <c r="I209" s="14" t="s">
        <v>568</v>
      </c>
      <c r="J209" s="25" t="s">
        <v>1426</v>
      </c>
      <c r="N209" t="s">
        <v>323</v>
      </c>
    </row>
    <row r="210" spans="1:14" x14ac:dyDescent="0.55000000000000004">
      <c r="A210" s="13" t="s">
        <v>569</v>
      </c>
      <c r="B210" t="s">
        <v>16</v>
      </c>
      <c r="C210" t="s">
        <v>565</v>
      </c>
      <c r="D210" t="s">
        <v>18</v>
      </c>
      <c r="F210" t="s">
        <v>27</v>
      </c>
      <c r="G210" t="s">
        <v>326</v>
      </c>
      <c r="I210" s="14" t="s">
        <v>570</v>
      </c>
      <c r="J210" s="25" t="s">
        <v>1468</v>
      </c>
    </row>
    <row r="211" spans="1:14" x14ac:dyDescent="0.55000000000000004">
      <c r="A211" s="13" t="s">
        <v>571</v>
      </c>
      <c r="B211" t="s">
        <v>23</v>
      </c>
      <c r="C211" t="s">
        <v>565</v>
      </c>
      <c r="D211" t="s">
        <v>18</v>
      </c>
      <c r="F211" t="s">
        <v>27</v>
      </c>
      <c r="G211" t="s">
        <v>326</v>
      </c>
      <c r="I211" s="14" t="s">
        <v>572</v>
      </c>
      <c r="J211" s="25" t="s">
        <v>1468</v>
      </c>
    </row>
    <row r="212" spans="1:14" x14ac:dyDescent="0.55000000000000004">
      <c r="A212" s="13" t="s">
        <v>573</v>
      </c>
      <c r="B212" t="s">
        <v>16</v>
      </c>
      <c r="C212" t="s">
        <v>565</v>
      </c>
      <c r="D212" t="s">
        <v>331</v>
      </c>
      <c r="F212" t="s">
        <v>27</v>
      </c>
      <c r="G212" t="s">
        <v>326</v>
      </c>
      <c r="I212" s="14" t="s">
        <v>574</v>
      </c>
      <c r="J212" s="25" t="s">
        <v>1441</v>
      </c>
    </row>
    <row r="213" spans="1:14" x14ac:dyDescent="0.55000000000000004">
      <c r="A213" s="13" t="s">
        <v>575</v>
      </c>
      <c r="B213" t="s">
        <v>16</v>
      </c>
      <c r="C213" t="s">
        <v>565</v>
      </c>
      <c r="D213" t="s">
        <v>18</v>
      </c>
      <c r="F213" t="s">
        <v>169</v>
      </c>
      <c r="G213" t="s">
        <v>334</v>
      </c>
      <c r="I213" s="14" t="s">
        <v>576</v>
      </c>
      <c r="J213" s="25" t="s">
        <v>1468</v>
      </c>
    </row>
    <row r="214" spans="1:14" x14ac:dyDescent="0.55000000000000004">
      <c r="A214" s="13" t="s">
        <v>577</v>
      </c>
      <c r="B214" t="s">
        <v>23</v>
      </c>
      <c r="C214" t="s">
        <v>565</v>
      </c>
      <c r="D214" t="s">
        <v>18</v>
      </c>
      <c r="F214" t="s">
        <v>169</v>
      </c>
      <c r="G214" t="s">
        <v>334</v>
      </c>
      <c r="I214" s="14" t="s">
        <v>578</v>
      </c>
      <c r="J214" s="25" t="s">
        <v>1468</v>
      </c>
    </row>
    <row r="215" spans="1:14" x14ac:dyDescent="0.55000000000000004">
      <c r="A215" s="13" t="s">
        <v>579</v>
      </c>
      <c r="B215" t="s">
        <v>16</v>
      </c>
      <c r="C215" t="s">
        <v>580</v>
      </c>
      <c r="D215" t="s">
        <v>18</v>
      </c>
      <c r="F215" t="s">
        <v>27</v>
      </c>
      <c r="G215" t="s">
        <v>340</v>
      </c>
      <c r="I215" s="14" t="s">
        <v>581</v>
      </c>
      <c r="J215" s="25" t="s">
        <v>1468</v>
      </c>
    </row>
    <row r="216" spans="1:14" x14ac:dyDescent="0.55000000000000004">
      <c r="A216" s="13" t="s">
        <v>582</v>
      </c>
      <c r="B216" t="s">
        <v>23</v>
      </c>
      <c r="C216" t="s">
        <v>580</v>
      </c>
      <c r="D216" t="s">
        <v>18</v>
      </c>
      <c r="F216" t="s">
        <v>27</v>
      </c>
      <c r="G216" t="s">
        <v>340</v>
      </c>
      <c r="I216" s="14" t="s">
        <v>583</v>
      </c>
      <c r="J216" s="25" t="s">
        <v>1468</v>
      </c>
    </row>
    <row r="217" spans="1:14" x14ac:dyDescent="0.55000000000000004">
      <c r="A217" s="13" t="s">
        <v>584</v>
      </c>
      <c r="B217" t="s">
        <v>16</v>
      </c>
      <c r="C217" t="s">
        <v>565</v>
      </c>
      <c r="D217" t="s">
        <v>331</v>
      </c>
      <c r="F217" t="s">
        <v>345</v>
      </c>
      <c r="G217" t="s">
        <v>318</v>
      </c>
      <c r="I217" s="14" t="s">
        <v>585</v>
      </c>
      <c r="J217" s="25" t="s">
        <v>1426</v>
      </c>
    </row>
    <row r="218" spans="1:14" x14ac:dyDescent="0.55000000000000004">
      <c r="A218" s="13" t="s">
        <v>586</v>
      </c>
      <c r="B218" t="s">
        <v>16</v>
      </c>
      <c r="C218" t="s">
        <v>565</v>
      </c>
      <c r="D218" t="s">
        <v>331</v>
      </c>
      <c r="F218" t="s">
        <v>348</v>
      </c>
      <c r="G218" t="s">
        <v>318</v>
      </c>
      <c r="I218" s="14" t="s">
        <v>587</v>
      </c>
      <c r="J218" s="25" t="s">
        <v>1426</v>
      </c>
    </row>
    <row r="219" spans="1:14" x14ac:dyDescent="0.55000000000000004">
      <c r="A219" s="13" t="s">
        <v>588</v>
      </c>
      <c r="B219" t="s">
        <v>16</v>
      </c>
      <c r="C219" t="s">
        <v>589</v>
      </c>
      <c r="D219" t="s">
        <v>18</v>
      </c>
      <c r="F219" t="s">
        <v>33</v>
      </c>
      <c r="G219" t="s">
        <v>352</v>
      </c>
      <c r="I219" s="14" t="s">
        <v>590</v>
      </c>
      <c r="J219" s="25" t="s">
        <v>1468</v>
      </c>
    </row>
    <row r="220" spans="1:14" x14ac:dyDescent="0.55000000000000004">
      <c r="A220" s="13" t="s">
        <v>591</v>
      </c>
      <c r="B220" t="s">
        <v>23</v>
      </c>
      <c r="C220" t="s">
        <v>589</v>
      </c>
      <c r="D220" t="s">
        <v>18</v>
      </c>
      <c r="F220" t="s">
        <v>33</v>
      </c>
      <c r="G220" t="s">
        <v>352</v>
      </c>
      <c r="I220" s="14" t="s">
        <v>592</v>
      </c>
      <c r="J220" s="25" t="s">
        <v>1468</v>
      </c>
    </row>
    <row r="221" spans="1:14" x14ac:dyDescent="0.55000000000000004">
      <c r="A221" s="13" t="s">
        <v>593</v>
      </c>
      <c r="B221" t="s">
        <v>16</v>
      </c>
      <c r="C221" t="s">
        <v>589</v>
      </c>
      <c r="D221" t="s">
        <v>331</v>
      </c>
      <c r="F221" t="s">
        <v>33</v>
      </c>
      <c r="G221" t="s">
        <v>352</v>
      </c>
      <c r="I221" s="14" t="s">
        <v>594</v>
      </c>
      <c r="J221" s="25" t="s">
        <v>1441</v>
      </c>
    </row>
    <row r="222" spans="1:14" x14ac:dyDescent="0.55000000000000004">
      <c r="A222" s="13" t="s">
        <v>595</v>
      </c>
      <c r="B222" t="s">
        <v>16</v>
      </c>
      <c r="C222" t="s">
        <v>555</v>
      </c>
      <c r="D222" t="s">
        <v>331</v>
      </c>
      <c r="F222" t="s">
        <v>596</v>
      </c>
      <c r="G222" t="s">
        <v>326</v>
      </c>
      <c r="I222" s="14" t="s">
        <v>597</v>
      </c>
      <c r="J222" s="25" t="s">
        <v>1468</v>
      </c>
    </row>
    <row r="223" spans="1:14" x14ac:dyDescent="0.55000000000000004">
      <c r="A223" s="13" t="s">
        <v>598</v>
      </c>
      <c r="B223" t="s">
        <v>16</v>
      </c>
      <c r="C223" t="s">
        <v>555</v>
      </c>
      <c r="D223" t="s">
        <v>331</v>
      </c>
      <c r="F223" t="s">
        <v>556</v>
      </c>
      <c r="G223" t="s">
        <v>318</v>
      </c>
      <c r="I223" s="14" t="s">
        <v>599</v>
      </c>
      <c r="J223" s="25" t="s">
        <v>1426</v>
      </c>
    </row>
    <row r="224" spans="1:14" x14ac:dyDescent="0.55000000000000004">
      <c r="A224" s="13" t="s">
        <v>600</v>
      </c>
      <c r="B224" t="s">
        <v>16</v>
      </c>
      <c r="C224" t="s">
        <v>555</v>
      </c>
      <c r="D224" t="s">
        <v>18</v>
      </c>
      <c r="F224" t="s">
        <v>596</v>
      </c>
      <c r="G224" t="s">
        <v>326</v>
      </c>
      <c r="I224" s="14" t="s">
        <v>601</v>
      </c>
      <c r="J224" s="25" t="s">
        <v>1468</v>
      </c>
    </row>
    <row r="225" spans="1:10" x14ac:dyDescent="0.55000000000000004">
      <c r="A225" s="13" t="s">
        <v>602</v>
      </c>
      <c r="B225" t="s">
        <v>23</v>
      </c>
      <c r="C225" t="s">
        <v>555</v>
      </c>
      <c r="D225" t="s">
        <v>18</v>
      </c>
      <c r="F225" t="s">
        <v>596</v>
      </c>
      <c r="G225" t="s">
        <v>326</v>
      </c>
      <c r="I225" s="14" t="s">
        <v>603</v>
      </c>
      <c r="J225" s="25" t="s">
        <v>1468</v>
      </c>
    </row>
    <row r="226" spans="1:10" x14ac:dyDescent="0.55000000000000004">
      <c r="A226" s="13" t="s">
        <v>604</v>
      </c>
      <c r="B226" t="s">
        <v>16</v>
      </c>
      <c r="C226" t="s">
        <v>555</v>
      </c>
      <c r="D226" t="s">
        <v>18</v>
      </c>
      <c r="G226" t="s">
        <v>352</v>
      </c>
      <c r="I226" s="14" t="s">
        <v>605</v>
      </c>
      <c r="J226" s="25" t="s">
        <v>1468</v>
      </c>
    </row>
    <row r="227" spans="1:10" x14ac:dyDescent="0.55000000000000004">
      <c r="A227" s="13" t="s">
        <v>606</v>
      </c>
      <c r="B227" t="s">
        <v>23</v>
      </c>
      <c r="C227" t="s">
        <v>555</v>
      </c>
      <c r="D227" t="s">
        <v>18</v>
      </c>
      <c r="G227" t="s">
        <v>352</v>
      </c>
      <c r="I227" s="14" t="s">
        <v>607</v>
      </c>
      <c r="J227" s="25" t="s">
        <v>1468</v>
      </c>
    </row>
    <row r="228" spans="1:10" x14ac:dyDescent="0.55000000000000004">
      <c r="A228" s="13" t="s">
        <v>608</v>
      </c>
      <c r="B228" t="s">
        <v>16</v>
      </c>
      <c r="C228" t="s">
        <v>555</v>
      </c>
      <c r="D228" t="s">
        <v>321</v>
      </c>
      <c r="G228" t="s">
        <v>318</v>
      </c>
      <c r="I228" s="14" t="s">
        <v>609</v>
      </c>
      <c r="J228" s="25" t="s">
        <v>1426</v>
      </c>
    </row>
    <row r="229" spans="1:10" x14ac:dyDescent="0.55000000000000004">
      <c r="A229" s="13" t="s">
        <v>610</v>
      </c>
      <c r="B229" t="s">
        <v>16</v>
      </c>
      <c r="C229" t="s">
        <v>555</v>
      </c>
      <c r="D229" t="s">
        <v>331</v>
      </c>
      <c r="G229" t="s">
        <v>352</v>
      </c>
      <c r="I229" s="14" t="s">
        <v>611</v>
      </c>
      <c r="J229" s="25" t="s">
        <v>1468</v>
      </c>
    </row>
    <row r="230" spans="1:10" x14ac:dyDescent="0.55000000000000004">
      <c r="A230" s="13" t="s">
        <v>612</v>
      </c>
      <c r="B230" t="s">
        <v>16</v>
      </c>
      <c r="C230" t="s">
        <v>562</v>
      </c>
      <c r="D230" t="s">
        <v>331</v>
      </c>
      <c r="F230" t="s">
        <v>596</v>
      </c>
      <c r="G230" t="s">
        <v>326</v>
      </c>
      <c r="I230" s="14" t="s">
        <v>613</v>
      </c>
      <c r="J230" s="25" t="s">
        <v>1468</v>
      </c>
    </row>
    <row r="231" spans="1:10" x14ac:dyDescent="0.55000000000000004">
      <c r="A231" s="13" t="s">
        <v>614</v>
      </c>
      <c r="B231" t="s">
        <v>16</v>
      </c>
      <c r="C231" t="s">
        <v>562</v>
      </c>
      <c r="D231" t="s">
        <v>331</v>
      </c>
      <c r="F231" t="s">
        <v>556</v>
      </c>
      <c r="G231" t="s">
        <v>318</v>
      </c>
      <c r="I231" s="14" t="s">
        <v>615</v>
      </c>
      <c r="J231" s="25" t="s">
        <v>1426</v>
      </c>
    </row>
    <row r="232" spans="1:10" x14ac:dyDescent="0.55000000000000004">
      <c r="A232" s="13" t="s">
        <v>616</v>
      </c>
      <c r="B232" t="s">
        <v>16</v>
      </c>
      <c r="C232" t="s">
        <v>562</v>
      </c>
      <c r="D232" t="s">
        <v>18</v>
      </c>
      <c r="F232" t="s">
        <v>596</v>
      </c>
      <c r="G232" t="s">
        <v>326</v>
      </c>
      <c r="I232" s="14" t="s">
        <v>617</v>
      </c>
      <c r="J232" s="25" t="s">
        <v>1468</v>
      </c>
    </row>
    <row r="233" spans="1:10" x14ac:dyDescent="0.55000000000000004">
      <c r="A233" s="13" t="s">
        <v>618</v>
      </c>
      <c r="B233" t="s">
        <v>23</v>
      </c>
      <c r="C233" t="s">
        <v>562</v>
      </c>
      <c r="D233" t="s">
        <v>18</v>
      </c>
      <c r="F233" t="s">
        <v>596</v>
      </c>
      <c r="G233" t="s">
        <v>326</v>
      </c>
      <c r="I233" s="14" t="s">
        <v>619</v>
      </c>
      <c r="J233" s="25" t="s">
        <v>1468</v>
      </c>
    </row>
    <row r="234" spans="1:10" x14ac:dyDescent="0.55000000000000004">
      <c r="A234" s="13" t="s">
        <v>620</v>
      </c>
      <c r="B234" t="s">
        <v>16</v>
      </c>
      <c r="C234" t="s">
        <v>562</v>
      </c>
      <c r="D234" t="s">
        <v>18</v>
      </c>
      <c r="G234" t="s">
        <v>352</v>
      </c>
      <c r="I234" s="14" t="s">
        <v>621</v>
      </c>
      <c r="J234" s="25" t="s">
        <v>1468</v>
      </c>
    </row>
    <row r="235" spans="1:10" x14ac:dyDescent="0.55000000000000004">
      <c r="A235" s="13" t="s">
        <v>622</v>
      </c>
      <c r="B235" t="s">
        <v>23</v>
      </c>
      <c r="C235" t="s">
        <v>562</v>
      </c>
      <c r="D235" t="s">
        <v>18</v>
      </c>
      <c r="G235" t="s">
        <v>352</v>
      </c>
      <c r="I235" s="14" t="s">
        <v>623</v>
      </c>
      <c r="J235" s="25" t="s">
        <v>1468</v>
      </c>
    </row>
    <row r="236" spans="1:10" x14ac:dyDescent="0.55000000000000004">
      <c r="A236" s="13" t="s">
        <v>624</v>
      </c>
      <c r="B236" t="s">
        <v>16</v>
      </c>
      <c r="C236" t="s">
        <v>562</v>
      </c>
      <c r="D236" t="s">
        <v>321</v>
      </c>
      <c r="G236" t="s">
        <v>318</v>
      </c>
      <c r="I236" s="14" t="s">
        <v>625</v>
      </c>
      <c r="J236" s="25" t="s">
        <v>1426</v>
      </c>
    </row>
    <row r="237" spans="1:10" x14ac:dyDescent="0.55000000000000004">
      <c r="A237" s="13" t="s">
        <v>626</v>
      </c>
      <c r="B237" t="s">
        <v>16</v>
      </c>
      <c r="C237" t="s">
        <v>562</v>
      </c>
      <c r="D237" t="s">
        <v>331</v>
      </c>
      <c r="G237" t="s">
        <v>352</v>
      </c>
      <c r="I237" s="14" t="s">
        <v>627</v>
      </c>
      <c r="J237" s="25" t="s">
        <v>1468</v>
      </c>
    </row>
    <row r="238" spans="1:10" x14ac:dyDescent="0.55000000000000004">
      <c r="A238" s="13" t="s">
        <v>628</v>
      </c>
      <c r="B238" t="s">
        <v>16</v>
      </c>
      <c r="C238" t="s">
        <v>629</v>
      </c>
      <c r="D238" t="s">
        <v>18</v>
      </c>
      <c r="F238" t="s">
        <v>27</v>
      </c>
      <c r="G238" t="s">
        <v>352</v>
      </c>
      <c r="I238" s="14" t="s">
        <v>630</v>
      </c>
      <c r="J238" s="25" t="s">
        <v>1468</v>
      </c>
    </row>
    <row r="239" spans="1:10" x14ac:dyDescent="0.55000000000000004">
      <c r="A239" s="13" t="s">
        <v>631</v>
      </c>
      <c r="B239" t="s">
        <v>23</v>
      </c>
      <c r="C239" t="s">
        <v>629</v>
      </c>
      <c r="D239" t="s">
        <v>18</v>
      </c>
      <c r="F239" t="s">
        <v>27</v>
      </c>
      <c r="G239" t="s">
        <v>352</v>
      </c>
      <c r="I239" s="14" t="s">
        <v>632</v>
      </c>
      <c r="J239" s="25" t="s">
        <v>1468</v>
      </c>
    </row>
    <row r="240" spans="1:10" x14ac:dyDescent="0.55000000000000004">
      <c r="A240" s="13" t="s">
        <v>633</v>
      </c>
      <c r="B240" t="s">
        <v>16</v>
      </c>
      <c r="C240" t="s">
        <v>629</v>
      </c>
      <c r="D240" t="s">
        <v>331</v>
      </c>
      <c r="F240" t="s">
        <v>27</v>
      </c>
      <c r="G240" t="s">
        <v>352</v>
      </c>
      <c r="I240" s="14" t="s">
        <v>634</v>
      </c>
      <c r="J240" s="25" t="s">
        <v>1441</v>
      </c>
    </row>
    <row r="241" spans="1:13" x14ac:dyDescent="0.55000000000000004">
      <c r="A241" s="13" t="s">
        <v>635</v>
      </c>
      <c r="B241" t="s">
        <v>90</v>
      </c>
      <c r="C241" t="s">
        <v>636</v>
      </c>
      <c r="D241" t="s">
        <v>316</v>
      </c>
      <c r="F241" t="s">
        <v>402</v>
      </c>
      <c r="G241" t="s">
        <v>318</v>
      </c>
      <c r="I241" s="14" t="s">
        <v>637</v>
      </c>
      <c r="J241" s="25" t="s">
        <v>1426</v>
      </c>
    </row>
    <row r="242" spans="1:13" x14ac:dyDescent="0.55000000000000004">
      <c r="A242" s="13" t="s">
        <v>638</v>
      </c>
      <c r="B242" t="s">
        <v>90</v>
      </c>
      <c r="C242" t="s">
        <v>639</v>
      </c>
      <c r="D242" t="s">
        <v>316</v>
      </c>
      <c r="F242" t="s">
        <v>317</v>
      </c>
      <c r="G242" t="s">
        <v>318</v>
      </c>
      <c r="I242" s="14" t="s">
        <v>640</v>
      </c>
      <c r="J242" s="25" t="s">
        <v>1426</v>
      </c>
    </row>
    <row r="243" spans="1:13" x14ac:dyDescent="0.55000000000000004">
      <c r="A243" s="13" t="s">
        <v>641</v>
      </c>
      <c r="B243" t="s">
        <v>16</v>
      </c>
      <c r="C243" t="s">
        <v>639</v>
      </c>
      <c r="D243" t="s">
        <v>321</v>
      </c>
      <c r="F243" t="s">
        <v>317</v>
      </c>
      <c r="G243" t="s">
        <v>492</v>
      </c>
      <c r="I243" s="14" t="s">
        <v>642</v>
      </c>
      <c r="J243" s="25" t="s">
        <v>1426</v>
      </c>
    </row>
    <row r="244" spans="1:13" x14ac:dyDescent="0.55000000000000004">
      <c r="A244" s="13" t="s">
        <v>643</v>
      </c>
      <c r="B244" t="s">
        <v>16</v>
      </c>
      <c r="C244" t="s">
        <v>644</v>
      </c>
      <c r="D244" t="s">
        <v>331</v>
      </c>
      <c r="F244" t="s">
        <v>645</v>
      </c>
      <c r="G244" t="s">
        <v>469</v>
      </c>
      <c r="I244" s="14" t="s">
        <v>646</v>
      </c>
      <c r="J244" s="25" t="s">
        <v>1431</v>
      </c>
      <c r="L244" t="s">
        <v>396</v>
      </c>
      <c r="M244" t="s">
        <v>323</v>
      </c>
    </row>
    <row r="245" spans="1:13" x14ac:dyDescent="0.55000000000000004">
      <c r="A245" s="13" t="s">
        <v>647</v>
      </c>
      <c r="C245" t="s">
        <v>648</v>
      </c>
      <c r="F245" t="s">
        <v>649</v>
      </c>
      <c r="G245" t="s">
        <v>650</v>
      </c>
      <c r="H245" t="s">
        <v>651</v>
      </c>
      <c r="I245" s="14" t="s">
        <v>652</v>
      </c>
      <c r="J245" s="25" t="s">
        <v>1435</v>
      </c>
    </row>
    <row r="246" spans="1:13" x14ac:dyDescent="0.55000000000000004">
      <c r="A246" s="13" t="s">
        <v>653</v>
      </c>
      <c r="C246" t="s">
        <v>648</v>
      </c>
      <c r="F246" t="s">
        <v>649</v>
      </c>
      <c r="G246" t="s">
        <v>650</v>
      </c>
      <c r="H246" t="s">
        <v>651</v>
      </c>
      <c r="I246" s="14" t="s">
        <v>654</v>
      </c>
      <c r="J246" s="25" t="s">
        <v>1435</v>
      </c>
    </row>
    <row r="247" spans="1:13" x14ac:dyDescent="0.55000000000000004">
      <c r="A247" s="13" t="s">
        <v>655</v>
      </c>
      <c r="C247" t="s">
        <v>648</v>
      </c>
      <c r="F247" t="s">
        <v>649</v>
      </c>
      <c r="G247" t="s">
        <v>650</v>
      </c>
      <c r="H247" t="s">
        <v>651</v>
      </c>
      <c r="I247" s="14" t="s">
        <v>656</v>
      </c>
      <c r="J247" s="25" t="s">
        <v>1435</v>
      </c>
    </row>
    <row r="248" spans="1:13" x14ac:dyDescent="0.55000000000000004">
      <c r="A248" s="13" t="s">
        <v>657</v>
      </c>
      <c r="C248" t="s">
        <v>648</v>
      </c>
      <c r="F248" t="s">
        <v>649</v>
      </c>
      <c r="G248" t="s">
        <v>650</v>
      </c>
      <c r="H248" t="s">
        <v>651</v>
      </c>
      <c r="I248" s="14" t="s">
        <v>658</v>
      </c>
      <c r="J248" s="25" t="s">
        <v>1435</v>
      </c>
    </row>
    <row r="249" spans="1:13" x14ac:dyDescent="0.55000000000000004">
      <c r="A249" s="13" t="s">
        <v>659</v>
      </c>
      <c r="C249" t="s">
        <v>648</v>
      </c>
      <c r="F249" t="s">
        <v>649</v>
      </c>
      <c r="G249" t="s">
        <v>650</v>
      </c>
      <c r="H249" t="s">
        <v>651</v>
      </c>
      <c r="I249" s="14" t="s">
        <v>660</v>
      </c>
      <c r="J249" s="25" t="s">
        <v>1435</v>
      </c>
    </row>
    <row r="250" spans="1:13" x14ac:dyDescent="0.55000000000000004">
      <c r="A250" s="13" t="s">
        <v>661</v>
      </c>
      <c r="C250" t="s">
        <v>648</v>
      </c>
      <c r="F250" t="s">
        <v>649</v>
      </c>
      <c r="G250" t="s">
        <v>650</v>
      </c>
      <c r="H250" t="s">
        <v>651</v>
      </c>
      <c r="I250" s="14" t="s">
        <v>662</v>
      </c>
      <c r="J250" s="25" t="s">
        <v>1435</v>
      </c>
    </row>
    <row r="251" spans="1:13" x14ac:dyDescent="0.55000000000000004">
      <c r="A251" s="13" t="s">
        <v>663</v>
      </c>
      <c r="B251" t="s">
        <v>16</v>
      </c>
      <c r="C251" t="s">
        <v>664</v>
      </c>
      <c r="D251" t="s">
        <v>18</v>
      </c>
      <c r="F251" t="s">
        <v>27</v>
      </c>
      <c r="G251" t="s">
        <v>340</v>
      </c>
      <c r="I251" s="14" t="s">
        <v>665</v>
      </c>
      <c r="J251" s="25" t="s">
        <v>1468</v>
      </c>
    </row>
    <row r="252" spans="1:13" x14ac:dyDescent="0.55000000000000004">
      <c r="A252" s="13" t="s">
        <v>666</v>
      </c>
      <c r="B252" t="s">
        <v>23</v>
      </c>
      <c r="C252" t="s">
        <v>664</v>
      </c>
      <c r="D252" t="s">
        <v>18</v>
      </c>
      <c r="F252" t="s">
        <v>27</v>
      </c>
      <c r="G252" t="s">
        <v>340</v>
      </c>
      <c r="I252" s="14" t="s">
        <v>667</v>
      </c>
      <c r="J252" s="25" t="s">
        <v>1468</v>
      </c>
    </row>
    <row r="253" spans="1:13" x14ac:dyDescent="0.55000000000000004">
      <c r="A253" s="13" t="s">
        <v>668</v>
      </c>
      <c r="B253" t="s">
        <v>90</v>
      </c>
      <c r="C253" t="s">
        <v>669</v>
      </c>
      <c r="D253" t="s">
        <v>316</v>
      </c>
      <c r="F253" t="s">
        <v>317</v>
      </c>
      <c r="G253" t="s">
        <v>318</v>
      </c>
      <c r="I253" s="14" t="s">
        <v>670</v>
      </c>
      <c r="J253" s="25" t="s">
        <v>1426</v>
      </c>
    </row>
    <row r="254" spans="1:13" x14ac:dyDescent="0.55000000000000004">
      <c r="A254" s="13" t="s">
        <v>671</v>
      </c>
      <c r="B254" t="s">
        <v>16</v>
      </c>
      <c r="C254" t="s">
        <v>669</v>
      </c>
      <c r="D254" t="s">
        <v>321</v>
      </c>
      <c r="F254" t="s">
        <v>317</v>
      </c>
      <c r="G254" t="s">
        <v>318</v>
      </c>
      <c r="I254" s="14" t="s">
        <v>672</v>
      </c>
      <c r="J254" s="25" t="s">
        <v>1426</v>
      </c>
    </row>
    <row r="255" spans="1:13" x14ac:dyDescent="0.55000000000000004">
      <c r="A255" s="13" t="s">
        <v>673</v>
      </c>
      <c r="B255" t="s">
        <v>90</v>
      </c>
      <c r="C255" t="s">
        <v>674</v>
      </c>
      <c r="D255" t="s">
        <v>316</v>
      </c>
      <c r="F255" t="s">
        <v>317</v>
      </c>
      <c r="G255" t="s">
        <v>318</v>
      </c>
      <c r="I255" s="14" t="s">
        <v>675</v>
      </c>
      <c r="J255" s="25" t="s">
        <v>1426</v>
      </c>
    </row>
    <row r="256" spans="1:13" x14ac:dyDescent="0.55000000000000004">
      <c r="A256" s="13" t="s">
        <v>676</v>
      </c>
      <c r="B256" t="s">
        <v>16</v>
      </c>
      <c r="C256" t="s">
        <v>674</v>
      </c>
      <c r="D256" t="s">
        <v>321</v>
      </c>
      <c r="F256" t="s">
        <v>317</v>
      </c>
      <c r="G256" t="s">
        <v>318</v>
      </c>
      <c r="I256" s="14" t="s">
        <v>677</v>
      </c>
      <c r="J256" s="25" t="s">
        <v>1426</v>
      </c>
    </row>
    <row r="257" spans="1:14" x14ac:dyDescent="0.55000000000000004">
      <c r="A257" s="13" t="s">
        <v>678</v>
      </c>
      <c r="B257" t="s">
        <v>16</v>
      </c>
      <c r="C257" t="s">
        <v>669</v>
      </c>
      <c r="D257" t="s">
        <v>18</v>
      </c>
      <c r="F257" t="s">
        <v>27</v>
      </c>
      <c r="G257" t="s">
        <v>326</v>
      </c>
      <c r="I257" s="14" t="s">
        <v>679</v>
      </c>
      <c r="J257" s="25" t="s">
        <v>1468</v>
      </c>
    </row>
    <row r="258" spans="1:14" x14ac:dyDescent="0.55000000000000004">
      <c r="A258" s="13" t="s">
        <v>680</v>
      </c>
      <c r="B258" t="s">
        <v>23</v>
      </c>
      <c r="C258" t="s">
        <v>669</v>
      </c>
      <c r="D258" t="s">
        <v>18</v>
      </c>
      <c r="F258" t="s">
        <v>27</v>
      </c>
      <c r="G258" t="s">
        <v>326</v>
      </c>
      <c r="I258" s="14" t="s">
        <v>681</v>
      </c>
      <c r="J258" s="25" t="s">
        <v>1468</v>
      </c>
    </row>
    <row r="259" spans="1:14" x14ac:dyDescent="0.55000000000000004">
      <c r="A259" s="13" t="s">
        <v>682</v>
      </c>
      <c r="B259" t="s">
        <v>16</v>
      </c>
      <c r="C259" t="s">
        <v>669</v>
      </c>
      <c r="D259" t="s">
        <v>331</v>
      </c>
      <c r="F259" t="s">
        <v>27</v>
      </c>
      <c r="G259" t="s">
        <v>326</v>
      </c>
      <c r="I259" s="14" t="s">
        <v>683</v>
      </c>
      <c r="J259" s="25" t="s">
        <v>1441</v>
      </c>
    </row>
    <row r="260" spans="1:14" x14ac:dyDescent="0.55000000000000004">
      <c r="A260" s="13" t="s">
        <v>684</v>
      </c>
      <c r="B260" t="s">
        <v>16</v>
      </c>
      <c r="C260" t="s">
        <v>669</v>
      </c>
      <c r="D260" t="s">
        <v>18</v>
      </c>
      <c r="F260" t="s">
        <v>169</v>
      </c>
      <c r="G260" t="s">
        <v>334</v>
      </c>
      <c r="I260" s="14" t="s">
        <v>685</v>
      </c>
      <c r="J260" s="25" t="s">
        <v>1468</v>
      </c>
    </row>
    <row r="261" spans="1:14" x14ac:dyDescent="0.55000000000000004">
      <c r="A261" s="13" t="s">
        <v>686</v>
      </c>
      <c r="B261" t="s">
        <v>23</v>
      </c>
      <c r="C261" t="s">
        <v>669</v>
      </c>
      <c r="D261" t="s">
        <v>18</v>
      </c>
      <c r="F261" t="s">
        <v>169</v>
      </c>
      <c r="G261" t="s">
        <v>334</v>
      </c>
      <c r="I261" s="14" t="s">
        <v>687</v>
      </c>
      <c r="J261" s="25" t="s">
        <v>1468</v>
      </c>
    </row>
    <row r="262" spans="1:14" x14ac:dyDescent="0.55000000000000004">
      <c r="A262" s="13" t="s">
        <v>688</v>
      </c>
      <c r="B262" t="s">
        <v>16</v>
      </c>
      <c r="C262" t="s">
        <v>669</v>
      </c>
      <c r="D262" t="s">
        <v>331</v>
      </c>
      <c r="F262" t="s">
        <v>345</v>
      </c>
      <c r="G262" t="s">
        <v>318</v>
      </c>
      <c r="I262" s="14" t="s">
        <v>689</v>
      </c>
      <c r="J262" s="25" t="s">
        <v>1426</v>
      </c>
    </row>
    <row r="263" spans="1:14" x14ac:dyDescent="0.55000000000000004">
      <c r="A263" s="13" t="s">
        <v>690</v>
      </c>
      <c r="B263" t="s">
        <v>16</v>
      </c>
      <c r="C263" t="s">
        <v>669</v>
      </c>
      <c r="D263" t="s">
        <v>331</v>
      </c>
      <c r="F263" t="s">
        <v>348</v>
      </c>
      <c r="G263" t="s">
        <v>318</v>
      </c>
      <c r="I263" s="14" t="s">
        <v>691</v>
      </c>
      <c r="J263" s="25" t="s">
        <v>1426</v>
      </c>
    </row>
    <row r="264" spans="1:14" x14ac:dyDescent="0.55000000000000004">
      <c r="A264" s="13" t="s">
        <v>692</v>
      </c>
      <c r="B264" t="s">
        <v>16</v>
      </c>
      <c r="C264" t="s">
        <v>693</v>
      </c>
      <c r="D264" t="s">
        <v>18</v>
      </c>
      <c r="F264" t="s">
        <v>33</v>
      </c>
      <c r="G264" t="s">
        <v>352</v>
      </c>
      <c r="I264" s="14" t="s">
        <v>694</v>
      </c>
      <c r="J264" s="25" t="s">
        <v>1468</v>
      </c>
    </row>
    <row r="265" spans="1:14" x14ac:dyDescent="0.55000000000000004">
      <c r="A265" s="13" t="s">
        <v>695</v>
      </c>
      <c r="B265" t="s">
        <v>23</v>
      </c>
      <c r="C265" t="s">
        <v>693</v>
      </c>
      <c r="D265" t="s">
        <v>18</v>
      </c>
      <c r="F265" t="s">
        <v>33</v>
      </c>
      <c r="G265" t="s">
        <v>352</v>
      </c>
      <c r="I265" s="14" t="s">
        <v>696</v>
      </c>
      <c r="J265" s="25" t="s">
        <v>1468</v>
      </c>
    </row>
    <row r="266" spans="1:14" x14ac:dyDescent="0.55000000000000004">
      <c r="A266" s="13" t="s">
        <v>697</v>
      </c>
      <c r="B266" t="s">
        <v>16</v>
      </c>
      <c r="C266" t="s">
        <v>693</v>
      </c>
      <c r="D266" t="s">
        <v>331</v>
      </c>
      <c r="F266" t="s">
        <v>33</v>
      </c>
      <c r="G266" t="s">
        <v>352</v>
      </c>
      <c r="I266" s="14" t="s">
        <v>698</v>
      </c>
      <c r="J266" s="25" t="s">
        <v>1441</v>
      </c>
    </row>
    <row r="267" spans="1:14" x14ac:dyDescent="0.55000000000000004">
      <c r="A267" s="13" t="s">
        <v>699</v>
      </c>
      <c r="B267" t="s">
        <v>90</v>
      </c>
      <c r="C267" t="s">
        <v>699</v>
      </c>
      <c r="G267" t="s">
        <v>700</v>
      </c>
      <c r="I267" s="14" t="s">
        <v>699</v>
      </c>
      <c r="J267" s="25" t="s">
        <v>1484</v>
      </c>
    </row>
    <row r="268" spans="1:14" x14ac:dyDescent="0.55000000000000004">
      <c r="A268" s="13" t="s">
        <v>701</v>
      </c>
      <c r="C268" t="s">
        <v>702</v>
      </c>
      <c r="F268" t="s">
        <v>532</v>
      </c>
      <c r="G268" t="s">
        <v>536</v>
      </c>
      <c r="I268" s="14" t="s">
        <v>703</v>
      </c>
      <c r="J268" s="25" t="s">
        <v>536</v>
      </c>
      <c r="L268" t="s">
        <v>538</v>
      </c>
      <c r="M268" t="s">
        <v>323</v>
      </c>
    </row>
    <row r="269" spans="1:14" x14ac:dyDescent="0.55000000000000004">
      <c r="A269" s="13" t="s">
        <v>704</v>
      </c>
      <c r="C269" t="s">
        <v>705</v>
      </c>
      <c r="F269" t="s">
        <v>532</v>
      </c>
      <c r="G269" t="s">
        <v>706</v>
      </c>
      <c r="I269" s="14" t="s">
        <v>707</v>
      </c>
      <c r="J269" s="25" t="s">
        <v>536</v>
      </c>
      <c r="L269" t="s">
        <v>560</v>
      </c>
      <c r="M269" t="s">
        <v>323</v>
      </c>
    </row>
    <row r="270" spans="1:14" x14ac:dyDescent="0.55000000000000004">
      <c r="A270" s="13" t="s">
        <v>708</v>
      </c>
      <c r="B270" t="s">
        <v>90</v>
      </c>
      <c r="C270" t="s">
        <v>709</v>
      </c>
      <c r="D270" t="s">
        <v>316</v>
      </c>
      <c r="F270" t="s">
        <v>317</v>
      </c>
      <c r="G270" t="s">
        <v>318</v>
      </c>
      <c r="I270" s="14" t="s">
        <v>710</v>
      </c>
      <c r="J270" s="25" t="s">
        <v>1426</v>
      </c>
    </row>
    <row r="271" spans="1:14" x14ac:dyDescent="0.55000000000000004">
      <c r="A271" s="13" t="s">
        <v>711</v>
      </c>
      <c r="B271" t="s">
        <v>16</v>
      </c>
      <c r="C271" t="s">
        <v>709</v>
      </c>
      <c r="D271" t="s">
        <v>321</v>
      </c>
      <c r="F271" t="s">
        <v>317</v>
      </c>
      <c r="G271" t="s">
        <v>318</v>
      </c>
      <c r="I271" s="14" t="s">
        <v>712</v>
      </c>
      <c r="J271" s="25" t="s">
        <v>1426</v>
      </c>
      <c r="N271" t="s">
        <v>323</v>
      </c>
    </row>
    <row r="272" spans="1:14" x14ac:dyDescent="0.55000000000000004">
      <c r="A272" s="13" t="s">
        <v>713</v>
      </c>
      <c r="B272" t="s">
        <v>16</v>
      </c>
      <c r="C272" t="s">
        <v>709</v>
      </c>
      <c r="D272" t="s">
        <v>18</v>
      </c>
      <c r="F272" t="s">
        <v>27</v>
      </c>
      <c r="G272" t="s">
        <v>326</v>
      </c>
      <c r="I272" s="14" t="s">
        <v>714</v>
      </c>
      <c r="J272" s="25" t="s">
        <v>1468</v>
      </c>
    </row>
    <row r="273" spans="1:14" x14ac:dyDescent="0.55000000000000004">
      <c r="A273" s="13" t="s">
        <v>715</v>
      </c>
      <c r="B273" t="s">
        <v>23</v>
      </c>
      <c r="C273" t="s">
        <v>709</v>
      </c>
      <c r="D273" t="s">
        <v>18</v>
      </c>
      <c r="F273" t="s">
        <v>27</v>
      </c>
      <c r="G273" t="s">
        <v>326</v>
      </c>
      <c r="I273" s="14" t="s">
        <v>716</v>
      </c>
      <c r="J273" s="25" t="s">
        <v>1468</v>
      </c>
    </row>
    <row r="274" spans="1:14" x14ac:dyDescent="0.55000000000000004">
      <c r="A274" s="13" t="s">
        <v>717</v>
      </c>
      <c r="B274" t="s">
        <v>16</v>
      </c>
      <c r="C274" t="s">
        <v>709</v>
      </c>
      <c r="D274" t="s">
        <v>331</v>
      </c>
      <c r="F274" t="s">
        <v>27</v>
      </c>
      <c r="G274" t="s">
        <v>326</v>
      </c>
      <c r="I274" s="14" t="s">
        <v>718</v>
      </c>
      <c r="J274" s="25" t="s">
        <v>1441</v>
      </c>
    </row>
    <row r="275" spans="1:14" x14ac:dyDescent="0.55000000000000004">
      <c r="A275" s="13" t="s">
        <v>719</v>
      </c>
      <c r="B275" t="s">
        <v>16</v>
      </c>
      <c r="C275" t="s">
        <v>720</v>
      </c>
      <c r="D275" t="s">
        <v>18</v>
      </c>
      <c r="F275" t="s">
        <v>169</v>
      </c>
      <c r="G275" t="s">
        <v>334</v>
      </c>
      <c r="I275" s="14" t="s">
        <v>721</v>
      </c>
      <c r="J275" s="25" t="s">
        <v>1468</v>
      </c>
    </row>
    <row r="276" spans="1:14" x14ac:dyDescent="0.55000000000000004">
      <c r="A276" s="13" t="s">
        <v>722</v>
      </c>
      <c r="B276" t="s">
        <v>23</v>
      </c>
      <c r="C276" t="s">
        <v>720</v>
      </c>
      <c r="D276" t="s">
        <v>18</v>
      </c>
      <c r="F276" t="s">
        <v>169</v>
      </c>
      <c r="G276" t="s">
        <v>334</v>
      </c>
      <c r="I276" s="14" t="s">
        <v>723</v>
      </c>
      <c r="J276" s="25" t="s">
        <v>1468</v>
      </c>
    </row>
    <row r="277" spans="1:14" x14ac:dyDescent="0.55000000000000004">
      <c r="A277" s="13" t="s">
        <v>724</v>
      </c>
      <c r="B277" t="s">
        <v>16</v>
      </c>
      <c r="C277" t="s">
        <v>725</v>
      </c>
      <c r="D277" t="s">
        <v>18</v>
      </c>
      <c r="F277" t="s">
        <v>27</v>
      </c>
      <c r="G277" t="s">
        <v>340</v>
      </c>
      <c r="I277" s="14" t="s">
        <v>726</v>
      </c>
      <c r="J277" s="25" t="s">
        <v>1468</v>
      </c>
    </row>
    <row r="278" spans="1:14" x14ac:dyDescent="0.55000000000000004">
      <c r="A278" s="13" t="s">
        <v>727</v>
      </c>
      <c r="B278" t="s">
        <v>23</v>
      </c>
      <c r="C278" t="s">
        <v>725</v>
      </c>
      <c r="D278" t="s">
        <v>18</v>
      </c>
      <c r="F278" t="s">
        <v>27</v>
      </c>
      <c r="G278" t="s">
        <v>340</v>
      </c>
      <c r="I278" s="14" t="s">
        <v>728</v>
      </c>
      <c r="J278" s="25" t="s">
        <v>1468</v>
      </c>
    </row>
    <row r="279" spans="1:14" x14ac:dyDescent="0.55000000000000004">
      <c r="A279" s="13" t="s">
        <v>729</v>
      </c>
      <c r="B279" t="s">
        <v>16</v>
      </c>
      <c r="C279" t="s">
        <v>709</v>
      </c>
      <c r="D279" t="s">
        <v>331</v>
      </c>
      <c r="F279" t="s">
        <v>345</v>
      </c>
      <c r="G279" t="s">
        <v>318</v>
      </c>
      <c r="I279" s="14" t="s">
        <v>730</v>
      </c>
      <c r="J279" s="25" t="s">
        <v>1426</v>
      </c>
    </row>
    <row r="280" spans="1:14" x14ac:dyDescent="0.55000000000000004">
      <c r="A280" s="13" t="s">
        <v>731</v>
      </c>
      <c r="B280" t="s">
        <v>16</v>
      </c>
      <c r="C280" t="s">
        <v>709</v>
      </c>
      <c r="D280" t="s">
        <v>331</v>
      </c>
      <c r="F280" t="s">
        <v>348</v>
      </c>
      <c r="G280" t="s">
        <v>318</v>
      </c>
      <c r="I280" s="14" t="s">
        <v>732</v>
      </c>
      <c r="J280" s="25" t="s">
        <v>1426</v>
      </c>
    </row>
    <row r="281" spans="1:14" x14ac:dyDescent="0.55000000000000004">
      <c r="A281" s="13" t="s">
        <v>733</v>
      </c>
      <c r="B281" t="s">
        <v>16</v>
      </c>
      <c r="C281" t="s">
        <v>734</v>
      </c>
      <c r="D281" t="s">
        <v>18</v>
      </c>
      <c r="F281" t="s">
        <v>33</v>
      </c>
      <c r="G281" t="s">
        <v>352</v>
      </c>
      <c r="I281" s="14" t="s">
        <v>735</v>
      </c>
      <c r="J281" s="25" t="s">
        <v>1468</v>
      </c>
    </row>
    <row r="282" spans="1:14" x14ac:dyDescent="0.55000000000000004">
      <c r="A282" s="13" t="s">
        <v>736</v>
      </c>
      <c r="B282" t="s">
        <v>23</v>
      </c>
      <c r="C282" t="s">
        <v>734</v>
      </c>
      <c r="D282" t="s">
        <v>18</v>
      </c>
      <c r="F282" t="s">
        <v>33</v>
      </c>
      <c r="G282" t="s">
        <v>352</v>
      </c>
      <c r="I282" s="14" t="s">
        <v>737</v>
      </c>
      <c r="J282" s="25" t="s">
        <v>1468</v>
      </c>
    </row>
    <row r="283" spans="1:14" x14ac:dyDescent="0.55000000000000004">
      <c r="A283" s="13" t="s">
        <v>738</v>
      </c>
      <c r="B283" t="s">
        <v>16</v>
      </c>
      <c r="C283" t="s">
        <v>734</v>
      </c>
      <c r="D283" t="s">
        <v>331</v>
      </c>
      <c r="F283" t="s">
        <v>33</v>
      </c>
      <c r="G283" t="s">
        <v>352</v>
      </c>
      <c r="I283" s="14" t="s">
        <v>739</v>
      </c>
      <c r="J283" s="25" t="s">
        <v>1441</v>
      </c>
    </row>
    <row r="284" spans="1:14" x14ac:dyDescent="0.55000000000000004">
      <c r="A284" s="13" t="s">
        <v>740</v>
      </c>
      <c r="B284" t="s">
        <v>90</v>
      </c>
      <c r="C284" t="s">
        <v>741</v>
      </c>
      <c r="D284" t="s">
        <v>316</v>
      </c>
      <c r="F284" t="s">
        <v>317</v>
      </c>
      <c r="G284" t="s">
        <v>318</v>
      </c>
      <c r="I284" s="14" t="s">
        <v>742</v>
      </c>
      <c r="J284" s="25" t="s">
        <v>1426</v>
      </c>
    </row>
    <row r="285" spans="1:14" x14ac:dyDescent="0.55000000000000004">
      <c r="A285" s="13" t="s">
        <v>743</v>
      </c>
      <c r="B285" t="s">
        <v>16</v>
      </c>
      <c r="C285" t="s">
        <v>741</v>
      </c>
      <c r="D285" t="s">
        <v>321</v>
      </c>
      <c r="F285" t="s">
        <v>317</v>
      </c>
      <c r="G285" t="s">
        <v>318</v>
      </c>
      <c r="I285" s="14" t="s">
        <v>744</v>
      </c>
      <c r="J285" s="25" t="s">
        <v>1426</v>
      </c>
      <c r="N285" t="s">
        <v>323</v>
      </c>
    </row>
    <row r="286" spans="1:14" x14ac:dyDescent="0.55000000000000004">
      <c r="A286" s="13" t="s">
        <v>745</v>
      </c>
      <c r="B286" t="s">
        <v>16</v>
      </c>
      <c r="C286" t="s">
        <v>741</v>
      </c>
      <c r="D286" t="s">
        <v>18</v>
      </c>
      <c r="F286" t="s">
        <v>27</v>
      </c>
      <c r="G286" t="s">
        <v>326</v>
      </c>
      <c r="I286" s="14" t="s">
        <v>746</v>
      </c>
      <c r="J286" s="25" t="s">
        <v>1468</v>
      </c>
    </row>
    <row r="287" spans="1:14" x14ac:dyDescent="0.55000000000000004">
      <c r="A287" s="13" t="s">
        <v>747</v>
      </c>
      <c r="B287" t="s">
        <v>23</v>
      </c>
      <c r="C287" t="s">
        <v>741</v>
      </c>
      <c r="D287" t="s">
        <v>18</v>
      </c>
      <c r="F287" t="s">
        <v>27</v>
      </c>
      <c r="G287" t="s">
        <v>326</v>
      </c>
      <c r="I287" s="14" t="s">
        <v>748</v>
      </c>
      <c r="J287" s="25" t="s">
        <v>1468</v>
      </c>
    </row>
    <row r="288" spans="1:14" x14ac:dyDescent="0.55000000000000004">
      <c r="A288" s="13" t="s">
        <v>749</v>
      </c>
      <c r="B288" t="s">
        <v>16</v>
      </c>
      <c r="C288" t="s">
        <v>741</v>
      </c>
      <c r="D288" t="s">
        <v>331</v>
      </c>
      <c r="F288" t="s">
        <v>27</v>
      </c>
      <c r="G288" t="s">
        <v>326</v>
      </c>
      <c r="I288" s="14" t="s">
        <v>750</v>
      </c>
      <c r="J288" s="25" t="s">
        <v>1441</v>
      </c>
    </row>
    <row r="289" spans="1:10" x14ac:dyDescent="0.55000000000000004">
      <c r="A289" s="13" t="s">
        <v>751</v>
      </c>
      <c r="B289" t="s">
        <v>16</v>
      </c>
      <c r="C289" t="s">
        <v>752</v>
      </c>
      <c r="D289" t="s">
        <v>18</v>
      </c>
      <c r="F289" t="s">
        <v>169</v>
      </c>
      <c r="G289" t="s">
        <v>334</v>
      </c>
      <c r="I289" s="14" t="s">
        <v>753</v>
      </c>
      <c r="J289" s="25" t="s">
        <v>1468</v>
      </c>
    </row>
    <row r="290" spans="1:10" x14ac:dyDescent="0.55000000000000004">
      <c r="A290" s="13" t="s">
        <v>754</v>
      </c>
      <c r="B290" t="s">
        <v>23</v>
      </c>
      <c r="C290" t="s">
        <v>752</v>
      </c>
      <c r="D290" t="s">
        <v>18</v>
      </c>
      <c r="F290" t="s">
        <v>169</v>
      </c>
      <c r="G290" t="s">
        <v>334</v>
      </c>
      <c r="I290" s="14" t="s">
        <v>755</v>
      </c>
      <c r="J290" s="25" t="s">
        <v>1468</v>
      </c>
    </row>
    <row r="291" spans="1:10" x14ac:dyDescent="0.55000000000000004">
      <c r="A291" s="13" t="s">
        <v>756</v>
      </c>
      <c r="B291" t="s">
        <v>16</v>
      </c>
      <c r="C291" t="s">
        <v>757</v>
      </c>
      <c r="D291" t="s">
        <v>18</v>
      </c>
      <c r="F291" t="s">
        <v>27</v>
      </c>
      <c r="G291" t="s">
        <v>340</v>
      </c>
      <c r="I291" s="14" t="s">
        <v>758</v>
      </c>
      <c r="J291" s="25" t="s">
        <v>1468</v>
      </c>
    </row>
    <row r="292" spans="1:10" x14ac:dyDescent="0.55000000000000004">
      <c r="A292" s="13" t="s">
        <v>759</v>
      </c>
      <c r="B292" t="s">
        <v>23</v>
      </c>
      <c r="C292" t="s">
        <v>757</v>
      </c>
      <c r="D292" t="s">
        <v>18</v>
      </c>
      <c r="F292" t="s">
        <v>27</v>
      </c>
      <c r="G292" t="s">
        <v>340</v>
      </c>
      <c r="I292" s="14" t="s">
        <v>760</v>
      </c>
      <c r="J292" s="25" t="s">
        <v>1468</v>
      </c>
    </row>
    <row r="293" spans="1:10" x14ac:dyDescent="0.55000000000000004">
      <c r="A293" s="13" t="s">
        <v>761</v>
      </c>
      <c r="B293" t="s">
        <v>16</v>
      </c>
      <c r="C293" t="s">
        <v>741</v>
      </c>
      <c r="D293" t="s">
        <v>331</v>
      </c>
      <c r="F293" t="s">
        <v>345</v>
      </c>
      <c r="G293" t="s">
        <v>318</v>
      </c>
      <c r="I293" s="14" t="s">
        <v>762</v>
      </c>
      <c r="J293" s="25" t="s">
        <v>1426</v>
      </c>
    </row>
    <row r="294" spans="1:10" x14ac:dyDescent="0.55000000000000004">
      <c r="A294" s="13" t="s">
        <v>763</v>
      </c>
      <c r="B294" t="s">
        <v>16</v>
      </c>
      <c r="C294" t="s">
        <v>741</v>
      </c>
      <c r="D294" t="s">
        <v>331</v>
      </c>
      <c r="F294" t="s">
        <v>348</v>
      </c>
      <c r="G294" t="s">
        <v>318</v>
      </c>
      <c r="I294" s="14" t="s">
        <v>764</v>
      </c>
      <c r="J294" s="25" t="s">
        <v>1426</v>
      </c>
    </row>
    <row r="295" spans="1:10" x14ac:dyDescent="0.55000000000000004">
      <c r="A295" s="13" t="s">
        <v>765</v>
      </c>
      <c r="B295" t="s">
        <v>16</v>
      </c>
      <c r="C295" t="s">
        <v>766</v>
      </c>
      <c r="D295" t="s">
        <v>18</v>
      </c>
      <c r="F295" t="s">
        <v>27</v>
      </c>
      <c r="G295" t="s">
        <v>352</v>
      </c>
      <c r="I295" s="14" t="s">
        <v>767</v>
      </c>
      <c r="J295" s="25" t="s">
        <v>1468</v>
      </c>
    </row>
    <row r="296" spans="1:10" x14ac:dyDescent="0.55000000000000004">
      <c r="A296" s="13" t="s">
        <v>768</v>
      </c>
      <c r="B296" t="s">
        <v>23</v>
      </c>
      <c r="C296" t="s">
        <v>766</v>
      </c>
      <c r="D296" t="s">
        <v>18</v>
      </c>
      <c r="F296" t="s">
        <v>27</v>
      </c>
      <c r="G296" t="s">
        <v>352</v>
      </c>
      <c r="I296" s="14" t="s">
        <v>769</v>
      </c>
      <c r="J296" s="25" t="s">
        <v>1468</v>
      </c>
    </row>
    <row r="297" spans="1:10" x14ac:dyDescent="0.55000000000000004">
      <c r="A297" s="13" t="s">
        <v>770</v>
      </c>
      <c r="B297" t="s">
        <v>16</v>
      </c>
      <c r="C297" t="s">
        <v>766</v>
      </c>
      <c r="D297" t="s">
        <v>331</v>
      </c>
      <c r="F297" t="s">
        <v>27</v>
      </c>
      <c r="G297" t="s">
        <v>352</v>
      </c>
      <c r="I297" s="14" t="s">
        <v>771</v>
      </c>
      <c r="J297" s="25" t="s">
        <v>1441</v>
      </c>
    </row>
    <row r="298" spans="1:10" x14ac:dyDescent="0.55000000000000004">
      <c r="A298" s="13" t="s">
        <v>772</v>
      </c>
      <c r="B298" t="s">
        <v>16</v>
      </c>
      <c r="C298" t="s">
        <v>773</v>
      </c>
      <c r="D298" t="s">
        <v>18</v>
      </c>
      <c r="F298" t="s">
        <v>27</v>
      </c>
      <c r="G298" t="s">
        <v>326</v>
      </c>
      <c r="I298" s="14" t="s">
        <v>774</v>
      </c>
      <c r="J298" s="25" t="s">
        <v>1468</v>
      </c>
    </row>
    <row r="299" spans="1:10" x14ac:dyDescent="0.55000000000000004">
      <c r="A299" s="13" t="s">
        <v>775</v>
      </c>
      <c r="B299" t="s">
        <v>23</v>
      </c>
      <c r="C299" t="s">
        <v>773</v>
      </c>
      <c r="D299" t="s">
        <v>18</v>
      </c>
      <c r="F299" t="s">
        <v>27</v>
      </c>
      <c r="G299" t="s">
        <v>326</v>
      </c>
      <c r="I299" s="14" t="s">
        <v>776</v>
      </c>
      <c r="J299" s="25" t="s">
        <v>1468</v>
      </c>
    </row>
    <row r="300" spans="1:10" x14ac:dyDescent="0.55000000000000004">
      <c r="A300" s="13" t="s">
        <v>777</v>
      </c>
      <c r="B300" t="s">
        <v>16</v>
      </c>
      <c r="C300" t="s">
        <v>773</v>
      </c>
      <c r="D300" t="s">
        <v>331</v>
      </c>
      <c r="F300" t="s">
        <v>27</v>
      </c>
      <c r="G300" t="s">
        <v>326</v>
      </c>
      <c r="I300" s="14" t="s">
        <v>778</v>
      </c>
      <c r="J300" s="25" t="s">
        <v>1441</v>
      </c>
    </row>
    <row r="301" spans="1:10" x14ac:dyDescent="0.55000000000000004">
      <c r="A301" s="13" t="s">
        <v>779</v>
      </c>
      <c r="B301" t="s">
        <v>16</v>
      </c>
      <c r="C301" t="s">
        <v>780</v>
      </c>
      <c r="D301" t="s">
        <v>18</v>
      </c>
      <c r="F301" t="s">
        <v>169</v>
      </c>
      <c r="G301" t="s">
        <v>334</v>
      </c>
      <c r="I301" s="14" t="s">
        <v>781</v>
      </c>
      <c r="J301" s="25" t="s">
        <v>1468</v>
      </c>
    </row>
    <row r="302" spans="1:10" x14ac:dyDescent="0.55000000000000004">
      <c r="A302" s="13" t="s">
        <v>782</v>
      </c>
      <c r="B302" t="s">
        <v>23</v>
      </c>
      <c r="C302" t="s">
        <v>780</v>
      </c>
      <c r="D302" t="s">
        <v>18</v>
      </c>
      <c r="F302" t="s">
        <v>169</v>
      </c>
      <c r="G302" t="s">
        <v>334</v>
      </c>
      <c r="I302" s="14" t="s">
        <v>783</v>
      </c>
      <c r="J302" s="25" t="s">
        <v>1468</v>
      </c>
    </row>
    <row r="303" spans="1:10" x14ac:dyDescent="0.55000000000000004">
      <c r="A303" s="13" t="s">
        <v>784</v>
      </c>
      <c r="B303" t="s">
        <v>16</v>
      </c>
      <c r="C303" t="s">
        <v>785</v>
      </c>
      <c r="D303" t="s">
        <v>18</v>
      </c>
      <c r="F303" t="s">
        <v>27</v>
      </c>
      <c r="G303" t="s">
        <v>340</v>
      </c>
      <c r="I303" s="14" t="s">
        <v>786</v>
      </c>
      <c r="J303" s="25" t="s">
        <v>1468</v>
      </c>
    </row>
    <row r="304" spans="1:10" x14ac:dyDescent="0.55000000000000004">
      <c r="A304" s="13" t="s">
        <v>787</v>
      </c>
      <c r="B304" t="s">
        <v>23</v>
      </c>
      <c r="C304" t="s">
        <v>785</v>
      </c>
      <c r="D304" t="s">
        <v>18</v>
      </c>
      <c r="F304" t="s">
        <v>27</v>
      </c>
      <c r="G304" t="s">
        <v>340</v>
      </c>
      <c r="I304" s="14" t="s">
        <v>788</v>
      </c>
      <c r="J304" s="25" t="s">
        <v>1468</v>
      </c>
    </row>
    <row r="305" spans="1:14" x14ac:dyDescent="0.55000000000000004">
      <c r="A305" s="13" t="s">
        <v>789</v>
      </c>
      <c r="B305" t="s">
        <v>90</v>
      </c>
      <c r="C305" t="s">
        <v>790</v>
      </c>
      <c r="D305" t="s">
        <v>316</v>
      </c>
      <c r="F305" t="s">
        <v>317</v>
      </c>
      <c r="G305" t="s">
        <v>318</v>
      </c>
      <c r="I305" s="14" t="s">
        <v>791</v>
      </c>
      <c r="J305" s="25" t="s">
        <v>1426</v>
      </c>
    </row>
    <row r="306" spans="1:14" x14ac:dyDescent="0.55000000000000004">
      <c r="A306" s="13" t="s">
        <v>792</v>
      </c>
      <c r="B306" t="s">
        <v>16</v>
      </c>
      <c r="C306" t="s">
        <v>790</v>
      </c>
      <c r="D306" t="s">
        <v>321</v>
      </c>
      <c r="F306" t="s">
        <v>317</v>
      </c>
      <c r="G306" t="s">
        <v>318</v>
      </c>
      <c r="I306" s="14" t="s">
        <v>793</v>
      </c>
      <c r="J306" s="25" t="s">
        <v>1426</v>
      </c>
      <c r="N306" t="s">
        <v>323</v>
      </c>
    </row>
    <row r="307" spans="1:14" x14ac:dyDescent="0.55000000000000004">
      <c r="A307" s="13" t="s">
        <v>794</v>
      </c>
      <c r="B307" t="s">
        <v>90</v>
      </c>
      <c r="C307" t="s">
        <v>795</v>
      </c>
      <c r="D307" t="s">
        <v>316</v>
      </c>
      <c r="F307" t="s">
        <v>317</v>
      </c>
      <c r="G307" t="s">
        <v>318</v>
      </c>
      <c r="I307" s="14" t="s">
        <v>796</v>
      </c>
      <c r="J307" s="25" t="s">
        <v>1426</v>
      </c>
    </row>
    <row r="308" spans="1:14" x14ac:dyDescent="0.55000000000000004">
      <c r="A308" s="13" t="s">
        <v>797</v>
      </c>
      <c r="B308" t="s">
        <v>16</v>
      </c>
      <c r="C308" t="s">
        <v>795</v>
      </c>
      <c r="D308" t="s">
        <v>321</v>
      </c>
      <c r="F308" t="s">
        <v>317</v>
      </c>
      <c r="G308" t="s">
        <v>318</v>
      </c>
      <c r="I308" s="14" t="s">
        <v>798</v>
      </c>
      <c r="J308" s="25" t="s">
        <v>1426</v>
      </c>
    </row>
    <row r="309" spans="1:14" x14ac:dyDescent="0.55000000000000004">
      <c r="A309" s="13" t="s">
        <v>799</v>
      </c>
      <c r="B309" t="s">
        <v>16</v>
      </c>
      <c r="C309" t="s">
        <v>790</v>
      </c>
      <c r="D309" t="s">
        <v>18</v>
      </c>
      <c r="F309" t="s">
        <v>27</v>
      </c>
      <c r="G309" t="s">
        <v>326</v>
      </c>
      <c r="I309" s="14" t="s">
        <v>800</v>
      </c>
      <c r="J309" s="25" t="s">
        <v>1468</v>
      </c>
    </row>
    <row r="310" spans="1:14" x14ac:dyDescent="0.55000000000000004">
      <c r="A310" s="13" t="s">
        <v>801</v>
      </c>
      <c r="B310" t="s">
        <v>23</v>
      </c>
      <c r="C310" t="s">
        <v>790</v>
      </c>
      <c r="D310" t="s">
        <v>18</v>
      </c>
      <c r="F310" t="s">
        <v>27</v>
      </c>
      <c r="G310" t="s">
        <v>326</v>
      </c>
      <c r="I310" s="14" t="s">
        <v>802</v>
      </c>
      <c r="J310" s="25" t="s">
        <v>1468</v>
      </c>
    </row>
    <row r="311" spans="1:14" x14ac:dyDescent="0.55000000000000004">
      <c r="A311" s="13" t="s">
        <v>803</v>
      </c>
      <c r="B311" t="s">
        <v>16</v>
      </c>
      <c r="C311" t="s">
        <v>790</v>
      </c>
      <c r="D311" t="s">
        <v>331</v>
      </c>
      <c r="F311" t="s">
        <v>27</v>
      </c>
      <c r="G311" t="s">
        <v>326</v>
      </c>
      <c r="I311" s="14" t="s">
        <v>804</v>
      </c>
      <c r="J311" s="25" t="s">
        <v>1441</v>
      </c>
    </row>
    <row r="312" spans="1:14" x14ac:dyDescent="0.55000000000000004">
      <c r="A312" s="13" t="s">
        <v>805</v>
      </c>
      <c r="B312" t="s">
        <v>16</v>
      </c>
      <c r="C312" t="s">
        <v>790</v>
      </c>
      <c r="D312" t="s">
        <v>18</v>
      </c>
      <c r="F312" t="s">
        <v>169</v>
      </c>
      <c r="G312" t="s">
        <v>334</v>
      </c>
      <c r="I312" s="14" t="s">
        <v>806</v>
      </c>
      <c r="J312" s="25" t="s">
        <v>1468</v>
      </c>
    </row>
    <row r="313" spans="1:14" x14ac:dyDescent="0.55000000000000004">
      <c r="A313" s="13" t="s">
        <v>807</v>
      </c>
      <c r="B313" t="s">
        <v>23</v>
      </c>
      <c r="C313" t="s">
        <v>790</v>
      </c>
      <c r="D313" t="s">
        <v>18</v>
      </c>
      <c r="F313" t="s">
        <v>169</v>
      </c>
      <c r="G313" t="s">
        <v>334</v>
      </c>
      <c r="I313" s="14" t="s">
        <v>808</v>
      </c>
      <c r="J313" s="25" t="s">
        <v>1468</v>
      </c>
    </row>
    <row r="314" spans="1:14" x14ac:dyDescent="0.55000000000000004">
      <c r="A314" s="13" t="s">
        <v>809</v>
      </c>
      <c r="B314" t="s">
        <v>16</v>
      </c>
      <c r="C314" t="s">
        <v>810</v>
      </c>
      <c r="D314" t="s">
        <v>18</v>
      </c>
      <c r="F314" t="s">
        <v>27</v>
      </c>
      <c r="G314" t="s">
        <v>340</v>
      </c>
      <c r="I314" s="14" t="s">
        <v>811</v>
      </c>
      <c r="J314" s="25" t="s">
        <v>1468</v>
      </c>
    </row>
    <row r="315" spans="1:14" x14ac:dyDescent="0.55000000000000004">
      <c r="A315" s="13" t="s">
        <v>812</v>
      </c>
      <c r="B315" t="s">
        <v>23</v>
      </c>
      <c r="C315" t="s">
        <v>810</v>
      </c>
      <c r="D315" t="s">
        <v>18</v>
      </c>
      <c r="F315" t="s">
        <v>27</v>
      </c>
      <c r="G315" t="s">
        <v>340</v>
      </c>
      <c r="I315" s="14" t="s">
        <v>813</v>
      </c>
      <c r="J315" s="25" t="s">
        <v>1468</v>
      </c>
    </row>
    <row r="316" spans="1:14" x14ac:dyDescent="0.55000000000000004">
      <c r="A316" s="13" t="s">
        <v>814</v>
      </c>
      <c r="B316" t="s">
        <v>16</v>
      </c>
      <c r="C316" t="s">
        <v>790</v>
      </c>
      <c r="D316" t="s">
        <v>331</v>
      </c>
      <c r="F316" t="s">
        <v>345</v>
      </c>
      <c r="G316" t="s">
        <v>318</v>
      </c>
      <c r="I316" s="14" t="s">
        <v>815</v>
      </c>
      <c r="J316" s="25" t="s">
        <v>1426</v>
      </c>
    </row>
    <row r="317" spans="1:14" x14ac:dyDescent="0.55000000000000004">
      <c r="A317" s="13" t="s">
        <v>816</v>
      </c>
      <c r="B317" t="s">
        <v>16</v>
      </c>
      <c r="C317" t="s">
        <v>790</v>
      </c>
      <c r="D317" t="s">
        <v>331</v>
      </c>
      <c r="F317" t="s">
        <v>348</v>
      </c>
      <c r="G317" t="s">
        <v>318</v>
      </c>
      <c r="I317" s="14" t="s">
        <v>817</v>
      </c>
      <c r="J317" s="25" t="s">
        <v>1426</v>
      </c>
    </row>
    <row r="318" spans="1:14" x14ac:dyDescent="0.55000000000000004">
      <c r="A318" s="13" t="s">
        <v>818</v>
      </c>
      <c r="B318" t="s">
        <v>16</v>
      </c>
      <c r="C318" t="s">
        <v>819</v>
      </c>
      <c r="D318" t="s">
        <v>18</v>
      </c>
      <c r="F318" t="s">
        <v>33</v>
      </c>
      <c r="G318" t="s">
        <v>352</v>
      </c>
      <c r="I318" s="14" t="s">
        <v>820</v>
      </c>
      <c r="J318" s="25" t="s">
        <v>1468</v>
      </c>
    </row>
    <row r="319" spans="1:14" x14ac:dyDescent="0.55000000000000004">
      <c r="A319" s="13" t="s">
        <v>821</v>
      </c>
      <c r="B319" t="s">
        <v>23</v>
      </c>
      <c r="C319" t="s">
        <v>819</v>
      </c>
      <c r="D319" t="s">
        <v>18</v>
      </c>
      <c r="F319" t="s">
        <v>33</v>
      </c>
      <c r="G319" t="s">
        <v>352</v>
      </c>
      <c r="I319" s="14" t="s">
        <v>822</v>
      </c>
      <c r="J319" s="25" t="s">
        <v>1468</v>
      </c>
    </row>
    <row r="320" spans="1:14" x14ac:dyDescent="0.55000000000000004">
      <c r="A320" s="13" t="s">
        <v>823</v>
      </c>
      <c r="B320" t="s">
        <v>16</v>
      </c>
      <c r="C320" t="s">
        <v>819</v>
      </c>
      <c r="D320" t="s">
        <v>331</v>
      </c>
      <c r="F320" t="s">
        <v>33</v>
      </c>
      <c r="G320" t="s">
        <v>352</v>
      </c>
      <c r="I320" s="14" t="s">
        <v>824</v>
      </c>
      <c r="J320" s="25" t="s">
        <v>1441</v>
      </c>
    </row>
    <row r="321" spans="1:16" x14ac:dyDescent="0.55000000000000004">
      <c r="A321" s="13" t="s">
        <v>825</v>
      </c>
      <c r="B321" t="s">
        <v>16</v>
      </c>
      <c r="C321" t="s">
        <v>826</v>
      </c>
      <c r="D321" t="s">
        <v>18</v>
      </c>
      <c r="F321" t="s">
        <v>27</v>
      </c>
      <c r="G321" t="s">
        <v>352</v>
      </c>
      <c r="I321" s="14" t="s">
        <v>827</v>
      </c>
      <c r="J321" s="25" t="s">
        <v>1468</v>
      </c>
    </row>
    <row r="322" spans="1:16" x14ac:dyDescent="0.55000000000000004">
      <c r="A322" s="13" t="s">
        <v>828</v>
      </c>
      <c r="B322" t="s">
        <v>23</v>
      </c>
      <c r="C322" t="s">
        <v>826</v>
      </c>
      <c r="D322" t="s">
        <v>18</v>
      </c>
      <c r="F322" t="s">
        <v>27</v>
      </c>
      <c r="G322" t="s">
        <v>352</v>
      </c>
      <c r="I322" s="14" t="s">
        <v>829</v>
      </c>
      <c r="J322" s="25" t="s">
        <v>1468</v>
      </c>
    </row>
    <row r="323" spans="1:16" x14ac:dyDescent="0.55000000000000004">
      <c r="A323" s="13" t="s">
        <v>830</v>
      </c>
      <c r="B323" t="s">
        <v>16</v>
      </c>
      <c r="C323" t="s">
        <v>826</v>
      </c>
      <c r="D323" t="s">
        <v>331</v>
      </c>
      <c r="F323" t="s">
        <v>27</v>
      </c>
      <c r="G323" t="s">
        <v>352</v>
      </c>
      <c r="I323" s="14" t="s">
        <v>831</v>
      </c>
      <c r="J323" s="25" t="s">
        <v>1441</v>
      </c>
    </row>
    <row r="324" spans="1:16" x14ac:dyDescent="0.55000000000000004">
      <c r="A324" s="13" t="s">
        <v>832</v>
      </c>
      <c r="B324" t="s">
        <v>90</v>
      </c>
      <c r="C324" t="s">
        <v>833</v>
      </c>
      <c r="D324" t="s">
        <v>316</v>
      </c>
      <c r="F324" t="s">
        <v>317</v>
      </c>
      <c r="G324" t="s">
        <v>318</v>
      </c>
      <c r="I324" s="14" t="s">
        <v>834</v>
      </c>
      <c r="J324" s="25" t="s">
        <v>1426</v>
      </c>
    </row>
    <row r="325" spans="1:16" x14ac:dyDescent="0.55000000000000004">
      <c r="A325" s="13" t="s">
        <v>835</v>
      </c>
      <c r="B325" t="s">
        <v>16</v>
      </c>
      <c r="C325" t="s">
        <v>833</v>
      </c>
      <c r="D325" t="s">
        <v>321</v>
      </c>
      <c r="F325" t="s">
        <v>317</v>
      </c>
      <c r="G325" t="s">
        <v>318</v>
      </c>
      <c r="I325" s="14" t="s">
        <v>836</v>
      </c>
      <c r="J325" s="25" t="s">
        <v>1426</v>
      </c>
      <c r="L325" t="s">
        <v>538</v>
      </c>
      <c r="M325" t="s">
        <v>323</v>
      </c>
      <c r="N325" t="s">
        <v>323</v>
      </c>
    </row>
    <row r="326" spans="1:16" x14ac:dyDescent="0.55000000000000004">
      <c r="A326" s="13" t="s">
        <v>837</v>
      </c>
      <c r="B326" t="s">
        <v>16</v>
      </c>
      <c r="C326" t="s">
        <v>838</v>
      </c>
      <c r="D326" t="s">
        <v>18</v>
      </c>
      <c r="F326" t="s">
        <v>325</v>
      </c>
      <c r="G326" t="s">
        <v>326</v>
      </c>
      <c r="I326" s="14" t="s">
        <v>839</v>
      </c>
      <c r="J326" s="25" t="s">
        <v>1468</v>
      </c>
    </row>
    <row r="327" spans="1:16" x14ac:dyDescent="0.55000000000000004">
      <c r="A327" s="13" t="s">
        <v>840</v>
      </c>
      <c r="B327" t="s">
        <v>23</v>
      </c>
      <c r="C327" t="s">
        <v>838</v>
      </c>
      <c r="D327" t="s">
        <v>18</v>
      </c>
      <c r="F327" t="s">
        <v>325</v>
      </c>
      <c r="G327" t="s">
        <v>326</v>
      </c>
      <c r="I327" s="14" t="s">
        <v>841</v>
      </c>
      <c r="J327" s="25" t="s">
        <v>1468</v>
      </c>
    </row>
    <row r="328" spans="1:16" x14ac:dyDescent="0.55000000000000004">
      <c r="A328" s="13" t="s">
        <v>842</v>
      </c>
      <c r="B328" t="s">
        <v>16</v>
      </c>
      <c r="C328" t="s">
        <v>838</v>
      </c>
      <c r="D328" t="s">
        <v>331</v>
      </c>
      <c r="F328" t="s">
        <v>325</v>
      </c>
      <c r="G328" t="s">
        <v>326</v>
      </c>
      <c r="I328" s="14" t="s">
        <v>843</v>
      </c>
      <c r="J328" s="25" t="s">
        <v>1441</v>
      </c>
    </row>
    <row r="329" spans="1:16" x14ac:dyDescent="0.55000000000000004">
      <c r="A329" s="13" t="s">
        <v>844</v>
      </c>
      <c r="B329" t="s">
        <v>16</v>
      </c>
      <c r="C329" t="s">
        <v>845</v>
      </c>
      <c r="D329" t="s">
        <v>18</v>
      </c>
      <c r="F329" t="s">
        <v>169</v>
      </c>
      <c r="G329" t="s">
        <v>334</v>
      </c>
      <c r="I329" s="14" t="s">
        <v>846</v>
      </c>
      <c r="J329" s="25" t="s">
        <v>1468</v>
      </c>
    </row>
    <row r="330" spans="1:16" x14ac:dyDescent="0.55000000000000004">
      <c r="A330" s="13" t="s">
        <v>847</v>
      </c>
      <c r="B330" t="s">
        <v>23</v>
      </c>
      <c r="C330" t="s">
        <v>845</v>
      </c>
      <c r="D330" t="s">
        <v>18</v>
      </c>
      <c r="F330" t="s">
        <v>169</v>
      </c>
      <c r="G330" t="s">
        <v>334</v>
      </c>
      <c r="I330" s="14" t="s">
        <v>848</v>
      </c>
      <c r="J330" s="25" t="s">
        <v>1468</v>
      </c>
    </row>
    <row r="331" spans="1:16" x14ac:dyDescent="0.55000000000000004">
      <c r="A331" s="13" t="s">
        <v>849</v>
      </c>
      <c r="B331" t="s">
        <v>16</v>
      </c>
      <c r="C331" t="s">
        <v>850</v>
      </c>
      <c r="D331" t="s">
        <v>18</v>
      </c>
      <c r="F331" t="s">
        <v>27</v>
      </c>
      <c r="G331" t="s">
        <v>340</v>
      </c>
      <c r="I331" s="14" t="s">
        <v>851</v>
      </c>
      <c r="J331" s="25" t="s">
        <v>1468</v>
      </c>
    </row>
    <row r="332" spans="1:16" x14ac:dyDescent="0.55000000000000004">
      <c r="A332" s="13" t="s">
        <v>852</v>
      </c>
      <c r="B332" t="s">
        <v>23</v>
      </c>
      <c r="C332" t="s">
        <v>850</v>
      </c>
      <c r="D332" t="s">
        <v>18</v>
      </c>
      <c r="F332" t="s">
        <v>27</v>
      </c>
      <c r="G332" t="s">
        <v>340</v>
      </c>
      <c r="I332" s="14" t="s">
        <v>853</v>
      </c>
      <c r="J332" s="25" t="s">
        <v>1468</v>
      </c>
    </row>
    <row r="333" spans="1:16" x14ac:dyDescent="0.55000000000000004">
      <c r="A333" s="13" t="s">
        <v>854</v>
      </c>
      <c r="B333" t="s">
        <v>16</v>
      </c>
      <c r="C333" t="s">
        <v>838</v>
      </c>
      <c r="D333" t="s">
        <v>18</v>
      </c>
      <c r="F333" t="s">
        <v>27</v>
      </c>
      <c r="G333" t="s">
        <v>352</v>
      </c>
      <c r="I333" s="14" t="s">
        <v>855</v>
      </c>
      <c r="J333" s="25" t="s">
        <v>1468</v>
      </c>
      <c r="P333" t="s">
        <v>354</v>
      </c>
    </row>
    <row r="334" spans="1:16" x14ac:dyDescent="0.55000000000000004">
      <c r="A334" s="13" t="s">
        <v>856</v>
      </c>
      <c r="B334" t="s">
        <v>23</v>
      </c>
      <c r="C334" t="s">
        <v>838</v>
      </c>
      <c r="D334" t="s">
        <v>18</v>
      </c>
      <c r="F334" t="s">
        <v>27</v>
      </c>
      <c r="G334" t="s">
        <v>352</v>
      </c>
      <c r="I334" s="14" t="s">
        <v>857</v>
      </c>
      <c r="J334" s="25" t="s">
        <v>1468</v>
      </c>
      <c r="P334" t="s">
        <v>354</v>
      </c>
    </row>
    <row r="335" spans="1:16" x14ac:dyDescent="0.55000000000000004">
      <c r="A335" s="13" t="s">
        <v>858</v>
      </c>
      <c r="B335" t="s">
        <v>16</v>
      </c>
      <c r="C335" t="s">
        <v>838</v>
      </c>
      <c r="D335" t="s">
        <v>331</v>
      </c>
      <c r="F335" t="s">
        <v>27</v>
      </c>
      <c r="G335" t="s">
        <v>352</v>
      </c>
      <c r="I335" s="14" t="s">
        <v>859</v>
      </c>
      <c r="J335" s="25" t="s">
        <v>1441</v>
      </c>
      <c r="P335" t="s">
        <v>354</v>
      </c>
    </row>
    <row r="336" spans="1:16" x14ac:dyDescent="0.55000000000000004">
      <c r="A336" s="13" t="s">
        <v>860</v>
      </c>
      <c r="B336" t="s">
        <v>16</v>
      </c>
      <c r="C336" t="s">
        <v>861</v>
      </c>
      <c r="D336" t="s">
        <v>18</v>
      </c>
      <c r="F336" t="s">
        <v>27</v>
      </c>
      <c r="G336" t="s">
        <v>326</v>
      </c>
      <c r="I336" s="14" t="s">
        <v>862</v>
      </c>
      <c r="J336" s="25" t="s">
        <v>1468</v>
      </c>
    </row>
    <row r="337" spans="1:14" x14ac:dyDescent="0.55000000000000004">
      <c r="A337" s="13" t="s">
        <v>863</v>
      </c>
      <c r="B337" t="s">
        <v>23</v>
      </c>
      <c r="C337" t="s">
        <v>861</v>
      </c>
      <c r="D337" t="s">
        <v>18</v>
      </c>
      <c r="F337" t="s">
        <v>27</v>
      </c>
      <c r="G337" t="s">
        <v>326</v>
      </c>
      <c r="I337" s="14" t="s">
        <v>864</v>
      </c>
      <c r="J337" s="25" t="s">
        <v>1468</v>
      </c>
    </row>
    <row r="338" spans="1:14" x14ac:dyDescent="0.55000000000000004">
      <c r="A338" s="13" t="s">
        <v>865</v>
      </c>
      <c r="B338" t="s">
        <v>16</v>
      </c>
      <c r="C338" t="s">
        <v>861</v>
      </c>
      <c r="D338" t="s">
        <v>331</v>
      </c>
      <c r="F338" t="s">
        <v>27</v>
      </c>
      <c r="G338" t="s">
        <v>326</v>
      </c>
      <c r="I338" s="14" t="s">
        <v>866</v>
      </c>
      <c r="J338" s="25" t="s">
        <v>1441</v>
      </c>
    </row>
    <row r="339" spans="1:14" x14ac:dyDescent="0.55000000000000004">
      <c r="A339" s="13" t="s">
        <v>867</v>
      </c>
      <c r="B339" t="s">
        <v>16</v>
      </c>
      <c r="C339" t="s">
        <v>868</v>
      </c>
      <c r="D339" t="s">
        <v>18</v>
      </c>
      <c r="F339" t="s">
        <v>27</v>
      </c>
      <c r="G339" t="s">
        <v>326</v>
      </c>
      <c r="I339" s="14" t="s">
        <v>869</v>
      </c>
      <c r="J339" s="25" t="s">
        <v>1468</v>
      </c>
    </row>
    <row r="340" spans="1:14" x14ac:dyDescent="0.55000000000000004">
      <c r="A340" s="13" t="s">
        <v>870</v>
      </c>
      <c r="B340" t="s">
        <v>23</v>
      </c>
      <c r="C340" t="s">
        <v>868</v>
      </c>
      <c r="D340" t="s">
        <v>18</v>
      </c>
      <c r="F340" t="s">
        <v>27</v>
      </c>
      <c r="G340" t="s">
        <v>326</v>
      </c>
      <c r="I340" s="14" t="s">
        <v>871</v>
      </c>
      <c r="J340" s="25" t="s">
        <v>1468</v>
      </c>
    </row>
    <row r="341" spans="1:14" x14ac:dyDescent="0.55000000000000004">
      <c r="A341" s="13" t="s">
        <v>872</v>
      </c>
      <c r="B341" t="s">
        <v>16</v>
      </c>
      <c r="C341" t="s">
        <v>868</v>
      </c>
      <c r="D341" t="s">
        <v>331</v>
      </c>
      <c r="F341" t="s">
        <v>27</v>
      </c>
      <c r="G341" t="s">
        <v>326</v>
      </c>
      <c r="I341" s="14" t="s">
        <v>873</v>
      </c>
      <c r="J341" s="25" t="s">
        <v>1441</v>
      </c>
    </row>
    <row r="342" spans="1:14" x14ac:dyDescent="0.55000000000000004">
      <c r="A342" s="13" t="s">
        <v>874</v>
      </c>
      <c r="B342" t="s">
        <v>16</v>
      </c>
      <c r="C342" t="s">
        <v>875</v>
      </c>
      <c r="D342" t="s">
        <v>18</v>
      </c>
      <c r="F342" t="s">
        <v>27</v>
      </c>
      <c r="G342" t="s">
        <v>326</v>
      </c>
      <c r="I342" s="14" t="s">
        <v>876</v>
      </c>
      <c r="J342" s="25" t="s">
        <v>1468</v>
      </c>
    </row>
    <row r="343" spans="1:14" x14ac:dyDescent="0.55000000000000004">
      <c r="A343" s="13" t="s">
        <v>877</v>
      </c>
      <c r="B343" t="s">
        <v>23</v>
      </c>
      <c r="C343" t="s">
        <v>875</v>
      </c>
      <c r="D343" t="s">
        <v>18</v>
      </c>
      <c r="F343" t="s">
        <v>27</v>
      </c>
      <c r="G343" t="s">
        <v>326</v>
      </c>
      <c r="I343" s="14" t="s">
        <v>878</v>
      </c>
      <c r="J343" s="25" t="s">
        <v>1468</v>
      </c>
    </row>
    <row r="344" spans="1:14" x14ac:dyDescent="0.55000000000000004">
      <c r="A344" s="13" t="s">
        <v>879</v>
      </c>
      <c r="B344" t="s">
        <v>16</v>
      </c>
      <c r="C344" t="s">
        <v>875</v>
      </c>
      <c r="D344" t="s">
        <v>331</v>
      </c>
      <c r="F344" t="s">
        <v>27</v>
      </c>
      <c r="G344" t="s">
        <v>326</v>
      </c>
      <c r="I344" s="14" t="s">
        <v>880</v>
      </c>
      <c r="J344" s="25" t="s">
        <v>1441</v>
      </c>
    </row>
    <row r="345" spans="1:14" x14ac:dyDescent="0.55000000000000004">
      <c r="A345" s="13" t="s">
        <v>881</v>
      </c>
      <c r="B345" t="s">
        <v>90</v>
      </c>
      <c r="C345" t="s">
        <v>882</v>
      </c>
      <c r="D345" t="s">
        <v>316</v>
      </c>
      <c r="F345" t="s">
        <v>317</v>
      </c>
      <c r="G345" t="s">
        <v>318</v>
      </c>
      <c r="I345" s="14" t="s">
        <v>883</v>
      </c>
      <c r="J345" s="25" t="s">
        <v>1426</v>
      </c>
    </row>
    <row r="346" spans="1:14" x14ac:dyDescent="0.55000000000000004">
      <c r="A346" s="13" t="s">
        <v>884</v>
      </c>
      <c r="B346" t="s">
        <v>16</v>
      </c>
      <c r="C346" t="s">
        <v>882</v>
      </c>
      <c r="D346" t="s">
        <v>321</v>
      </c>
      <c r="F346" t="s">
        <v>317</v>
      </c>
      <c r="G346" t="s">
        <v>318</v>
      </c>
      <c r="I346" s="14" t="s">
        <v>885</v>
      </c>
      <c r="J346" s="25" t="s">
        <v>1426</v>
      </c>
      <c r="N346" t="s">
        <v>323</v>
      </c>
    </row>
    <row r="347" spans="1:14" x14ac:dyDescent="0.55000000000000004">
      <c r="A347" s="13" t="s">
        <v>886</v>
      </c>
      <c r="B347" t="s">
        <v>90</v>
      </c>
      <c r="C347" t="s">
        <v>887</v>
      </c>
      <c r="D347" t="s">
        <v>316</v>
      </c>
      <c r="F347" t="s">
        <v>316</v>
      </c>
      <c r="G347" t="s">
        <v>318</v>
      </c>
      <c r="I347" s="14" t="s">
        <v>888</v>
      </c>
      <c r="J347" s="25" t="s">
        <v>1426</v>
      </c>
    </row>
    <row r="348" spans="1:14" x14ac:dyDescent="0.55000000000000004">
      <c r="A348" s="13" t="s">
        <v>889</v>
      </c>
      <c r="B348" t="s">
        <v>16</v>
      </c>
      <c r="C348" t="s">
        <v>887</v>
      </c>
      <c r="D348" t="s">
        <v>321</v>
      </c>
      <c r="F348" t="s">
        <v>321</v>
      </c>
      <c r="G348" t="s">
        <v>364</v>
      </c>
      <c r="I348" s="14" t="s">
        <v>890</v>
      </c>
      <c r="J348" s="25" t="s">
        <v>1426</v>
      </c>
    </row>
    <row r="349" spans="1:14" x14ac:dyDescent="0.55000000000000004">
      <c r="A349" s="13" t="s">
        <v>891</v>
      </c>
      <c r="C349" t="s">
        <v>648</v>
      </c>
      <c r="F349" t="s">
        <v>649</v>
      </c>
      <c r="G349" t="s">
        <v>650</v>
      </c>
      <c r="H349" t="s">
        <v>651</v>
      </c>
      <c r="I349" s="14" t="s">
        <v>892</v>
      </c>
      <c r="J349" s="25" t="s">
        <v>1435</v>
      </c>
    </row>
    <row r="350" spans="1:14" x14ac:dyDescent="0.55000000000000004">
      <c r="A350" s="13" t="s">
        <v>893</v>
      </c>
      <c r="C350" t="s">
        <v>648</v>
      </c>
      <c r="F350" t="s">
        <v>649</v>
      </c>
      <c r="G350" t="s">
        <v>650</v>
      </c>
      <c r="H350" t="s">
        <v>651</v>
      </c>
      <c r="I350" s="14" t="s">
        <v>894</v>
      </c>
      <c r="J350" s="25" t="s">
        <v>1435</v>
      </c>
    </row>
    <row r="351" spans="1:14" x14ac:dyDescent="0.55000000000000004">
      <c r="A351" s="13" t="s">
        <v>895</v>
      </c>
      <c r="C351" t="s">
        <v>648</v>
      </c>
      <c r="F351" t="s">
        <v>649</v>
      </c>
      <c r="G351" t="s">
        <v>650</v>
      </c>
      <c r="H351" t="s">
        <v>651</v>
      </c>
      <c r="I351" s="14" t="s">
        <v>896</v>
      </c>
      <c r="J351" s="25" t="s">
        <v>1435</v>
      </c>
    </row>
    <row r="352" spans="1:14" x14ac:dyDescent="0.55000000000000004">
      <c r="A352" s="13" t="s">
        <v>897</v>
      </c>
      <c r="C352" t="s">
        <v>648</v>
      </c>
      <c r="F352" t="s">
        <v>649</v>
      </c>
      <c r="G352" t="s">
        <v>650</v>
      </c>
      <c r="H352" t="s">
        <v>651</v>
      </c>
      <c r="I352" s="14" t="s">
        <v>898</v>
      </c>
      <c r="J352" s="25" t="s">
        <v>1435</v>
      </c>
    </row>
    <row r="353" spans="1:11" x14ac:dyDescent="0.55000000000000004">
      <c r="A353" s="13" t="s">
        <v>899</v>
      </c>
      <c r="C353" t="s">
        <v>648</v>
      </c>
      <c r="F353" t="s">
        <v>649</v>
      </c>
      <c r="G353" t="s">
        <v>650</v>
      </c>
      <c r="H353" t="s">
        <v>651</v>
      </c>
      <c r="I353" s="14" t="s">
        <v>900</v>
      </c>
      <c r="J353" s="25" t="s">
        <v>1435</v>
      </c>
    </row>
    <row r="354" spans="1:11" x14ac:dyDescent="0.55000000000000004">
      <c r="A354" s="13" t="s">
        <v>901</v>
      </c>
      <c r="C354" t="s">
        <v>648</v>
      </c>
      <c r="F354" t="s">
        <v>649</v>
      </c>
      <c r="G354" t="s">
        <v>650</v>
      </c>
      <c r="H354" t="s">
        <v>651</v>
      </c>
      <c r="I354" s="14" t="s">
        <v>902</v>
      </c>
      <c r="J354" s="25" t="s">
        <v>1435</v>
      </c>
    </row>
    <row r="355" spans="1:11" x14ac:dyDescent="0.55000000000000004">
      <c r="A355" s="13" t="s">
        <v>903</v>
      </c>
      <c r="C355" t="s">
        <v>904</v>
      </c>
      <c r="D355" t="s">
        <v>18</v>
      </c>
      <c r="G355" t="s">
        <v>700</v>
      </c>
      <c r="I355" s="14" t="s">
        <v>903</v>
      </c>
      <c r="J355" s="25" t="s">
        <v>1484</v>
      </c>
    </row>
    <row r="356" spans="1:11" x14ac:dyDescent="0.55000000000000004">
      <c r="A356" s="13" t="s">
        <v>905</v>
      </c>
      <c r="C356" t="s">
        <v>906</v>
      </c>
      <c r="D356" t="s">
        <v>18</v>
      </c>
      <c r="E356" t="s">
        <v>907</v>
      </c>
      <c r="F356" t="s">
        <v>645</v>
      </c>
      <c r="G356" t="s">
        <v>700</v>
      </c>
      <c r="I356" s="14" t="s">
        <v>908</v>
      </c>
      <c r="J356" s="25" t="s">
        <v>1484</v>
      </c>
      <c r="K356" t="s">
        <v>962</v>
      </c>
    </row>
    <row r="357" spans="1:11" x14ac:dyDescent="0.55000000000000004">
      <c r="A357" s="13" t="s">
        <v>909</v>
      </c>
      <c r="C357" t="s">
        <v>910</v>
      </c>
      <c r="D357" t="s">
        <v>18</v>
      </c>
      <c r="E357" t="s">
        <v>907</v>
      </c>
      <c r="F357" t="s">
        <v>91</v>
      </c>
      <c r="G357" t="s">
        <v>700</v>
      </c>
      <c r="I357" s="14" t="s">
        <v>911</v>
      </c>
      <c r="J357" s="25" t="s">
        <v>1484</v>
      </c>
    </row>
    <row r="358" spans="1:11" x14ac:dyDescent="0.55000000000000004">
      <c r="A358" s="13" t="s">
        <v>912</v>
      </c>
      <c r="C358" t="s">
        <v>913</v>
      </c>
      <c r="D358" t="s">
        <v>18</v>
      </c>
      <c r="E358" t="s">
        <v>907</v>
      </c>
      <c r="F358" t="s">
        <v>645</v>
      </c>
      <c r="G358" t="s">
        <v>700</v>
      </c>
      <c r="I358" s="14" t="s">
        <v>914</v>
      </c>
      <c r="J358" s="25" t="s">
        <v>1484</v>
      </c>
    </row>
    <row r="359" spans="1:11" x14ac:dyDescent="0.55000000000000004">
      <c r="A359" s="13" t="s">
        <v>915</v>
      </c>
      <c r="C359" t="s">
        <v>916</v>
      </c>
      <c r="D359" t="s">
        <v>18</v>
      </c>
      <c r="E359" t="s">
        <v>907</v>
      </c>
      <c r="F359" t="s">
        <v>91</v>
      </c>
      <c r="G359" t="s">
        <v>700</v>
      </c>
      <c r="I359" s="14" t="s">
        <v>917</v>
      </c>
      <c r="J359" s="25" t="s">
        <v>1484</v>
      </c>
    </row>
    <row r="360" spans="1:11" x14ac:dyDescent="0.55000000000000004">
      <c r="A360" s="13" t="s">
        <v>918</v>
      </c>
      <c r="C360" t="s">
        <v>919</v>
      </c>
      <c r="D360" t="s">
        <v>18</v>
      </c>
      <c r="E360" t="s">
        <v>907</v>
      </c>
      <c r="F360" t="s">
        <v>91</v>
      </c>
      <c r="G360" t="s">
        <v>700</v>
      </c>
      <c r="I360" s="14" t="s">
        <v>920</v>
      </c>
      <c r="J360" s="25" t="s">
        <v>1484</v>
      </c>
    </row>
    <row r="361" spans="1:11" x14ac:dyDescent="0.55000000000000004">
      <c r="A361" s="13" t="s">
        <v>921</v>
      </c>
      <c r="C361" t="s">
        <v>922</v>
      </c>
      <c r="D361" t="s">
        <v>18</v>
      </c>
      <c r="E361" t="s">
        <v>907</v>
      </c>
      <c r="F361" t="s">
        <v>91</v>
      </c>
      <c r="G361" t="s">
        <v>700</v>
      </c>
      <c r="I361" s="14" t="s">
        <v>923</v>
      </c>
      <c r="J361" s="25" t="s">
        <v>1484</v>
      </c>
    </row>
    <row r="362" spans="1:11" x14ac:dyDescent="0.55000000000000004">
      <c r="A362" s="13" t="s">
        <v>924</v>
      </c>
      <c r="C362" t="s">
        <v>925</v>
      </c>
      <c r="D362" t="s">
        <v>18</v>
      </c>
      <c r="E362" t="s">
        <v>907</v>
      </c>
      <c r="F362" t="s">
        <v>91</v>
      </c>
      <c r="G362" t="s">
        <v>700</v>
      </c>
      <c r="I362" s="14" t="s">
        <v>926</v>
      </c>
      <c r="J362" s="25" t="s">
        <v>1484</v>
      </c>
    </row>
    <row r="363" spans="1:11" x14ac:dyDescent="0.55000000000000004">
      <c r="A363" s="13" t="s">
        <v>927</v>
      </c>
      <c r="C363" t="s">
        <v>928</v>
      </c>
      <c r="D363" t="s">
        <v>18</v>
      </c>
      <c r="E363" t="s">
        <v>907</v>
      </c>
      <c r="F363" t="s">
        <v>91</v>
      </c>
      <c r="G363" t="s">
        <v>700</v>
      </c>
      <c r="I363" s="14" t="s">
        <v>929</v>
      </c>
      <c r="J363" s="25" t="s">
        <v>1484</v>
      </c>
    </row>
    <row r="364" spans="1:11" x14ac:dyDescent="0.55000000000000004">
      <c r="A364" s="13" t="s">
        <v>930</v>
      </c>
      <c r="C364" t="s">
        <v>931</v>
      </c>
      <c r="D364" t="s">
        <v>18</v>
      </c>
      <c r="E364" t="s">
        <v>907</v>
      </c>
      <c r="F364" t="s">
        <v>91</v>
      </c>
      <c r="G364" t="s">
        <v>700</v>
      </c>
      <c r="I364" s="14" t="s">
        <v>932</v>
      </c>
      <c r="J364" s="25" t="s">
        <v>1484</v>
      </c>
    </row>
    <row r="365" spans="1:11" x14ac:dyDescent="0.55000000000000004">
      <c r="A365" s="13" t="s">
        <v>933</v>
      </c>
      <c r="C365" t="s">
        <v>906</v>
      </c>
      <c r="D365" t="s">
        <v>18</v>
      </c>
      <c r="E365" t="s">
        <v>934</v>
      </c>
      <c r="F365" t="s">
        <v>645</v>
      </c>
      <c r="G365" t="s">
        <v>700</v>
      </c>
      <c r="I365" s="14" t="s">
        <v>935</v>
      </c>
      <c r="J365" s="25" t="s">
        <v>1484</v>
      </c>
    </row>
    <row r="366" spans="1:11" x14ac:dyDescent="0.55000000000000004">
      <c r="A366" s="13" t="s">
        <v>936</v>
      </c>
      <c r="C366" t="s">
        <v>910</v>
      </c>
      <c r="D366" t="s">
        <v>18</v>
      </c>
      <c r="E366" t="s">
        <v>934</v>
      </c>
      <c r="F366" t="s">
        <v>91</v>
      </c>
      <c r="G366" t="s">
        <v>700</v>
      </c>
      <c r="I366" s="14" t="s">
        <v>937</v>
      </c>
      <c r="J366" s="25" t="s">
        <v>1484</v>
      </c>
    </row>
    <row r="367" spans="1:11" x14ac:dyDescent="0.55000000000000004">
      <c r="A367" s="13" t="s">
        <v>938</v>
      </c>
      <c r="C367" t="s">
        <v>913</v>
      </c>
      <c r="D367" t="s">
        <v>18</v>
      </c>
      <c r="E367" t="s">
        <v>934</v>
      </c>
      <c r="F367" t="s">
        <v>645</v>
      </c>
      <c r="G367" t="s">
        <v>700</v>
      </c>
      <c r="I367" s="14" t="s">
        <v>939</v>
      </c>
      <c r="J367" s="25" t="s">
        <v>1484</v>
      </c>
    </row>
    <row r="368" spans="1:11" x14ac:dyDescent="0.55000000000000004">
      <c r="A368" s="13" t="s">
        <v>940</v>
      </c>
      <c r="C368" t="s">
        <v>916</v>
      </c>
      <c r="D368" t="s">
        <v>18</v>
      </c>
      <c r="E368" t="s">
        <v>934</v>
      </c>
      <c r="F368" t="s">
        <v>91</v>
      </c>
      <c r="G368" t="s">
        <v>700</v>
      </c>
      <c r="I368" s="14" t="s">
        <v>941</v>
      </c>
      <c r="J368" s="25" t="s">
        <v>1484</v>
      </c>
    </row>
    <row r="369" spans="1:14" x14ac:dyDescent="0.55000000000000004">
      <c r="A369" s="13" t="s">
        <v>942</v>
      </c>
      <c r="C369" t="s">
        <v>919</v>
      </c>
      <c r="D369" t="s">
        <v>18</v>
      </c>
      <c r="E369" t="s">
        <v>934</v>
      </c>
      <c r="F369" t="s">
        <v>91</v>
      </c>
      <c r="G369" t="s">
        <v>700</v>
      </c>
      <c r="I369" s="14" t="s">
        <v>943</v>
      </c>
      <c r="J369" s="25" t="s">
        <v>1484</v>
      </c>
      <c r="L369" t="s">
        <v>396</v>
      </c>
      <c r="M369" t="s">
        <v>323</v>
      </c>
    </row>
    <row r="370" spans="1:14" x14ac:dyDescent="0.55000000000000004">
      <c r="A370" s="13" t="s">
        <v>944</v>
      </c>
      <c r="C370" t="s">
        <v>922</v>
      </c>
      <c r="D370" t="s">
        <v>18</v>
      </c>
      <c r="E370" t="s">
        <v>934</v>
      </c>
      <c r="F370" t="s">
        <v>91</v>
      </c>
      <c r="G370" t="s">
        <v>700</v>
      </c>
      <c r="I370" s="14" t="s">
        <v>945</v>
      </c>
      <c r="J370" s="25" t="s">
        <v>1484</v>
      </c>
    </row>
    <row r="371" spans="1:14" x14ac:dyDescent="0.55000000000000004">
      <c r="A371" s="13" t="s">
        <v>946</v>
      </c>
      <c r="C371" t="s">
        <v>931</v>
      </c>
      <c r="D371" t="s">
        <v>18</v>
      </c>
      <c r="E371" t="s">
        <v>934</v>
      </c>
      <c r="F371" t="s">
        <v>91</v>
      </c>
      <c r="G371" t="s">
        <v>700</v>
      </c>
      <c r="I371" s="14" t="s">
        <v>947</v>
      </c>
      <c r="J371" s="25" t="s">
        <v>1484</v>
      </c>
    </row>
    <row r="372" spans="1:14" x14ac:dyDescent="0.55000000000000004">
      <c r="A372" s="13" t="s">
        <v>948</v>
      </c>
      <c r="C372" t="s">
        <v>949</v>
      </c>
      <c r="D372" t="s">
        <v>18</v>
      </c>
      <c r="E372" t="s">
        <v>934</v>
      </c>
      <c r="F372" t="s">
        <v>91</v>
      </c>
      <c r="G372" t="s">
        <v>700</v>
      </c>
      <c r="I372" s="14" t="s">
        <v>950</v>
      </c>
      <c r="J372" s="25" t="s">
        <v>1484</v>
      </c>
    </row>
    <row r="373" spans="1:14" x14ac:dyDescent="0.55000000000000004">
      <c r="A373" s="13" t="s">
        <v>951</v>
      </c>
      <c r="C373" t="s">
        <v>952</v>
      </c>
      <c r="D373" t="s">
        <v>18</v>
      </c>
      <c r="E373" t="s">
        <v>934</v>
      </c>
      <c r="F373" t="s">
        <v>91</v>
      </c>
      <c r="G373" t="s">
        <v>700</v>
      </c>
      <c r="I373" s="14" t="s">
        <v>953</v>
      </c>
      <c r="J373" s="25" t="s">
        <v>1484</v>
      </c>
    </row>
    <row r="374" spans="1:14" x14ac:dyDescent="0.55000000000000004">
      <c r="A374" s="13" t="s">
        <v>954</v>
      </c>
      <c r="C374" t="s">
        <v>955</v>
      </c>
      <c r="D374" t="s">
        <v>18</v>
      </c>
      <c r="E374" t="s">
        <v>934</v>
      </c>
      <c r="G374" t="s">
        <v>700</v>
      </c>
      <c r="I374" s="14" t="s">
        <v>954</v>
      </c>
      <c r="J374" s="25" t="s">
        <v>1484</v>
      </c>
    </row>
    <row r="375" spans="1:14" x14ac:dyDescent="0.55000000000000004">
      <c r="A375" s="13" t="s">
        <v>956</v>
      </c>
      <c r="B375" t="s">
        <v>16</v>
      </c>
      <c r="C375" t="s">
        <v>957</v>
      </c>
      <c r="D375" t="s">
        <v>331</v>
      </c>
      <c r="F375" t="s">
        <v>91</v>
      </c>
      <c r="G375" t="s">
        <v>364</v>
      </c>
      <c r="I375" s="14" t="s">
        <v>958</v>
      </c>
      <c r="J375" s="25" t="s">
        <v>1426</v>
      </c>
    </row>
    <row r="376" spans="1:14" x14ac:dyDescent="0.55000000000000004">
      <c r="A376" s="13" t="s">
        <v>959</v>
      </c>
      <c r="B376" t="s">
        <v>16</v>
      </c>
      <c r="C376" t="s">
        <v>957</v>
      </c>
      <c r="D376" t="s">
        <v>18</v>
      </c>
      <c r="F376" t="s">
        <v>91</v>
      </c>
      <c r="G376" t="s">
        <v>960</v>
      </c>
      <c r="I376" s="14" t="s">
        <v>961</v>
      </c>
      <c r="J376" s="25" t="s">
        <v>1468</v>
      </c>
      <c r="K376" t="s">
        <v>962</v>
      </c>
      <c r="L376" t="s">
        <v>538</v>
      </c>
      <c r="M376" t="s">
        <v>323</v>
      </c>
    </row>
    <row r="377" spans="1:14" x14ac:dyDescent="0.55000000000000004">
      <c r="A377" s="13" t="s">
        <v>963</v>
      </c>
      <c r="B377" t="s">
        <v>23</v>
      </c>
      <c r="C377" t="s">
        <v>957</v>
      </c>
      <c r="D377" t="s">
        <v>18</v>
      </c>
      <c r="F377" t="s">
        <v>91</v>
      </c>
      <c r="G377" t="s">
        <v>960</v>
      </c>
      <c r="I377" s="14" t="s">
        <v>964</v>
      </c>
      <c r="J377" s="25" t="s">
        <v>1468</v>
      </c>
      <c r="K377" t="s">
        <v>962</v>
      </c>
    </row>
    <row r="378" spans="1:14" x14ac:dyDescent="0.55000000000000004">
      <c r="A378" s="13" t="s">
        <v>965</v>
      </c>
      <c r="B378" t="s">
        <v>16</v>
      </c>
      <c r="C378" t="s">
        <v>966</v>
      </c>
      <c r="D378" t="s">
        <v>18</v>
      </c>
      <c r="F378" t="s">
        <v>27</v>
      </c>
      <c r="G378" t="s">
        <v>340</v>
      </c>
      <c r="I378" s="14" t="s">
        <v>967</v>
      </c>
      <c r="J378" s="25" t="s">
        <v>1468</v>
      </c>
    </row>
    <row r="379" spans="1:14" x14ac:dyDescent="0.55000000000000004">
      <c r="A379" s="13" t="s">
        <v>968</v>
      </c>
      <c r="B379" t="s">
        <v>23</v>
      </c>
      <c r="C379" t="s">
        <v>966</v>
      </c>
      <c r="D379" t="s">
        <v>18</v>
      </c>
      <c r="F379" t="s">
        <v>27</v>
      </c>
      <c r="G379" t="s">
        <v>340</v>
      </c>
      <c r="I379" s="14" t="s">
        <v>969</v>
      </c>
      <c r="J379" s="25" t="s">
        <v>1468</v>
      </c>
    </row>
    <row r="380" spans="1:14" x14ac:dyDescent="0.55000000000000004">
      <c r="A380" s="13" t="s">
        <v>970</v>
      </c>
      <c r="B380" t="s">
        <v>90</v>
      </c>
      <c r="C380" t="s">
        <v>971</v>
      </c>
      <c r="D380" t="s">
        <v>316</v>
      </c>
      <c r="F380" t="s">
        <v>317</v>
      </c>
      <c r="G380" t="s">
        <v>318</v>
      </c>
      <c r="I380" s="14" t="s">
        <v>972</v>
      </c>
      <c r="J380" s="25" t="s">
        <v>1426</v>
      </c>
    </row>
    <row r="381" spans="1:14" x14ac:dyDescent="0.55000000000000004">
      <c r="A381" s="13" t="s">
        <v>973</v>
      </c>
      <c r="B381" t="s">
        <v>16</v>
      </c>
      <c r="C381" t="s">
        <v>971</v>
      </c>
      <c r="D381" t="s">
        <v>321</v>
      </c>
      <c r="F381" t="s">
        <v>317</v>
      </c>
      <c r="G381" t="s">
        <v>318</v>
      </c>
      <c r="I381" s="14" t="s">
        <v>974</v>
      </c>
      <c r="J381" s="25" t="s">
        <v>1426</v>
      </c>
      <c r="L381" s="17" t="s">
        <v>560</v>
      </c>
      <c r="N381" t="s">
        <v>323</v>
      </c>
    </row>
    <row r="382" spans="1:14" x14ac:dyDescent="0.55000000000000004">
      <c r="A382" s="13" t="s">
        <v>975</v>
      </c>
      <c r="B382" t="s">
        <v>16</v>
      </c>
      <c r="C382" t="s">
        <v>976</v>
      </c>
      <c r="D382" t="s">
        <v>18</v>
      </c>
      <c r="F382" t="s">
        <v>27</v>
      </c>
      <c r="G382" t="s">
        <v>326</v>
      </c>
      <c r="I382" s="14" t="s">
        <v>977</v>
      </c>
      <c r="J382" s="25" t="s">
        <v>1468</v>
      </c>
    </row>
    <row r="383" spans="1:14" x14ac:dyDescent="0.55000000000000004">
      <c r="A383" s="13" t="s">
        <v>978</v>
      </c>
      <c r="B383" t="s">
        <v>23</v>
      </c>
      <c r="C383" t="s">
        <v>976</v>
      </c>
      <c r="D383" t="s">
        <v>18</v>
      </c>
      <c r="F383" t="s">
        <v>27</v>
      </c>
      <c r="G383" t="s">
        <v>326</v>
      </c>
      <c r="I383" s="14" t="s">
        <v>979</v>
      </c>
      <c r="J383" s="25" t="s">
        <v>1468</v>
      </c>
    </row>
    <row r="384" spans="1:14" x14ac:dyDescent="0.55000000000000004">
      <c r="A384" s="13" t="s">
        <v>980</v>
      </c>
      <c r="B384" t="s">
        <v>16</v>
      </c>
      <c r="C384" t="s">
        <v>976</v>
      </c>
      <c r="D384" t="s">
        <v>331</v>
      </c>
      <c r="F384" t="s">
        <v>27</v>
      </c>
      <c r="G384" t="s">
        <v>326</v>
      </c>
      <c r="I384" s="14" t="s">
        <v>981</v>
      </c>
      <c r="J384" s="25" t="s">
        <v>1441</v>
      </c>
    </row>
    <row r="385" spans="1:13" x14ac:dyDescent="0.55000000000000004">
      <c r="A385" s="13" t="s">
        <v>982</v>
      </c>
      <c r="B385" t="s">
        <v>16</v>
      </c>
      <c r="C385" t="s">
        <v>983</v>
      </c>
      <c r="D385" t="s">
        <v>18</v>
      </c>
      <c r="F385" t="s">
        <v>27</v>
      </c>
      <c r="G385" t="s">
        <v>326</v>
      </c>
      <c r="I385" s="14" t="s">
        <v>984</v>
      </c>
      <c r="J385" s="25" t="s">
        <v>1468</v>
      </c>
    </row>
    <row r="386" spans="1:13" x14ac:dyDescent="0.55000000000000004">
      <c r="A386" s="13" t="s">
        <v>985</v>
      </c>
      <c r="B386" t="s">
        <v>23</v>
      </c>
      <c r="C386" t="s">
        <v>983</v>
      </c>
      <c r="D386" t="s">
        <v>18</v>
      </c>
      <c r="F386" t="s">
        <v>27</v>
      </c>
      <c r="G386" t="s">
        <v>326</v>
      </c>
      <c r="I386" s="14" t="s">
        <v>986</v>
      </c>
      <c r="J386" s="25" t="s">
        <v>1468</v>
      </c>
    </row>
    <row r="387" spans="1:13" x14ac:dyDescent="0.55000000000000004">
      <c r="A387" s="13" t="s">
        <v>987</v>
      </c>
      <c r="B387" t="s">
        <v>16</v>
      </c>
      <c r="C387" t="s">
        <v>976</v>
      </c>
      <c r="D387" t="s">
        <v>331</v>
      </c>
      <c r="F387" t="s">
        <v>27</v>
      </c>
      <c r="G387" t="s">
        <v>326</v>
      </c>
      <c r="I387" s="14" t="s">
        <v>988</v>
      </c>
      <c r="J387" s="25" t="s">
        <v>1441</v>
      </c>
    </row>
    <row r="388" spans="1:13" x14ac:dyDescent="0.55000000000000004">
      <c r="A388" s="13" t="s">
        <v>989</v>
      </c>
      <c r="B388" t="s">
        <v>16</v>
      </c>
      <c r="C388" t="s">
        <v>971</v>
      </c>
      <c r="D388" t="s">
        <v>18</v>
      </c>
      <c r="F388" t="s">
        <v>990</v>
      </c>
      <c r="G388" t="s">
        <v>334</v>
      </c>
      <c r="I388" s="14" t="s">
        <v>991</v>
      </c>
      <c r="J388" s="25" t="s">
        <v>1468</v>
      </c>
    </row>
    <row r="389" spans="1:13" x14ac:dyDescent="0.55000000000000004">
      <c r="A389" s="13" t="s">
        <v>992</v>
      </c>
      <c r="B389" t="s">
        <v>23</v>
      </c>
      <c r="C389" t="s">
        <v>971</v>
      </c>
      <c r="D389" t="s">
        <v>18</v>
      </c>
      <c r="F389" t="s">
        <v>990</v>
      </c>
      <c r="G389" t="s">
        <v>334</v>
      </c>
      <c r="I389" s="14" t="s">
        <v>993</v>
      </c>
      <c r="J389" s="25" t="s">
        <v>1468</v>
      </c>
    </row>
    <row r="390" spans="1:13" x14ac:dyDescent="0.55000000000000004">
      <c r="A390" s="13" t="s">
        <v>994</v>
      </c>
      <c r="B390" t="s">
        <v>16</v>
      </c>
      <c r="C390" t="s">
        <v>971</v>
      </c>
      <c r="D390" t="s">
        <v>331</v>
      </c>
      <c r="F390" t="s">
        <v>345</v>
      </c>
      <c r="G390" t="s">
        <v>318</v>
      </c>
      <c r="I390" s="14" t="s">
        <v>995</v>
      </c>
      <c r="J390" s="25" t="s">
        <v>1426</v>
      </c>
    </row>
    <row r="391" spans="1:13" x14ac:dyDescent="0.55000000000000004">
      <c r="A391" s="13" t="s">
        <v>996</v>
      </c>
      <c r="B391" t="s">
        <v>16</v>
      </c>
      <c r="C391" t="s">
        <v>971</v>
      </c>
      <c r="D391" t="s">
        <v>331</v>
      </c>
      <c r="F391" t="s">
        <v>348</v>
      </c>
      <c r="G391" t="s">
        <v>318</v>
      </c>
      <c r="I391" s="14" t="s">
        <v>997</v>
      </c>
      <c r="J391" s="25" t="s">
        <v>1426</v>
      </c>
    </row>
    <row r="392" spans="1:13" x14ac:dyDescent="0.55000000000000004">
      <c r="A392" s="13" t="s">
        <v>998</v>
      </c>
      <c r="B392" t="s">
        <v>16</v>
      </c>
      <c r="C392" t="s">
        <v>999</v>
      </c>
      <c r="D392" t="s">
        <v>18</v>
      </c>
      <c r="F392" t="s">
        <v>33</v>
      </c>
      <c r="G392" t="s">
        <v>352</v>
      </c>
      <c r="I392" s="14" t="s">
        <v>1000</v>
      </c>
      <c r="J392" s="25" t="s">
        <v>1468</v>
      </c>
    </row>
    <row r="393" spans="1:13" x14ac:dyDescent="0.55000000000000004">
      <c r="A393" s="13" t="s">
        <v>1001</v>
      </c>
      <c r="B393" t="s">
        <v>23</v>
      </c>
      <c r="C393" t="s">
        <v>999</v>
      </c>
      <c r="D393" t="s">
        <v>18</v>
      </c>
      <c r="F393" t="s">
        <v>33</v>
      </c>
      <c r="G393" t="s">
        <v>352</v>
      </c>
      <c r="I393" s="14" t="s">
        <v>1002</v>
      </c>
      <c r="J393" s="25" t="s">
        <v>1468</v>
      </c>
    </row>
    <row r="394" spans="1:13" x14ac:dyDescent="0.55000000000000004">
      <c r="A394" s="13" t="s">
        <v>1003</v>
      </c>
      <c r="B394" t="s">
        <v>16</v>
      </c>
      <c r="C394" t="s">
        <v>999</v>
      </c>
      <c r="D394" t="s">
        <v>331</v>
      </c>
      <c r="F394" t="s">
        <v>33</v>
      </c>
      <c r="G394" t="s">
        <v>352</v>
      </c>
      <c r="I394" s="14" t="s">
        <v>1004</v>
      </c>
      <c r="J394" s="25" t="s">
        <v>1441</v>
      </c>
    </row>
    <row r="395" spans="1:13" x14ac:dyDescent="0.55000000000000004">
      <c r="A395" s="13" t="s">
        <v>1005</v>
      </c>
      <c r="B395" t="s">
        <v>16</v>
      </c>
      <c r="C395" t="s">
        <v>1006</v>
      </c>
      <c r="D395" t="s">
        <v>331</v>
      </c>
      <c r="F395" t="s">
        <v>1007</v>
      </c>
      <c r="G395" t="s">
        <v>1008</v>
      </c>
      <c r="I395" s="14" t="s">
        <v>1009</v>
      </c>
      <c r="J395" s="25" t="s">
        <v>1441</v>
      </c>
      <c r="L395" t="s">
        <v>560</v>
      </c>
      <c r="M395" t="s">
        <v>323</v>
      </c>
    </row>
    <row r="396" spans="1:13" x14ac:dyDescent="0.55000000000000004">
      <c r="A396" s="13" t="s">
        <v>1010</v>
      </c>
      <c r="B396" t="s">
        <v>16</v>
      </c>
      <c r="C396" t="s">
        <v>1006</v>
      </c>
      <c r="D396" t="s">
        <v>18</v>
      </c>
      <c r="F396" t="s">
        <v>27</v>
      </c>
      <c r="G396" t="s">
        <v>1008</v>
      </c>
      <c r="I396" s="14" t="s">
        <v>1011</v>
      </c>
      <c r="J396" s="25" t="s">
        <v>1468</v>
      </c>
    </row>
    <row r="397" spans="1:13" x14ac:dyDescent="0.55000000000000004">
      <c r="A397" s="13" t="s">
        <v>1012</v>
      </c>
      <c r="B397" t="s">
        <v>23</v>
      </c>
      <c r="C397" t="s">
        <v>1006</v>
      </c>
      <c r="D397" t="s">
        <v>18</v>
      </c>
      <c r="F397" t="s">
        <v>27</v>
      </c>
      <c r="G397" t="s">
        <v>1008</v>
      </c>
      <c r="I397" s="14" t="s">
        <v>1013</v>
      </c>
      <c r="J397" s="25" t="s">
        <v>1468</v>
      </c>
    </row>
    <row r="398" spans="1:13" x14ac:dyDescent="0.55000000000000004">
      <c r="A398" s="13" t="s">
        <v>1014</v>
      </c>
      <c r="B398" t="s">
        <v>16</v>
      </c>
      <c r="C398" t="s">
        <v>1006</v>
      </c>
      <c r="D398" t="s">
        <v>331</v>
      </c>
      <c r="F398" t="s">
        <v>27</v>
      </c>
      <c r="G398" t="s">
        <v>1008</v>
      </c>
      <c r="I398" s="14" t="s">
        <v>1015</v>
      </c>
      <c r="J398" s="25" t="s">
        <v>1441</v>
      </c>
    </row>
    <row r="399" spans="1:13" x14ac:dyDescent="0.55000000000000004">
      <c r="A399" s="13" t="s">
        <v>1016</v>
      </c>
      <c r="B399" t="s">
        <v>16</v>
      </c>
      <c r="C399" t="s">
        <v>1006</v>
      </c>
      <c r="D399" t="s">
        <v>18</v>
      </c>
      <c r="F399" t="s">
        <v>1007</v>
      </c>
      <c r="G399" t="s">
        <v>1008</v>
      </c>
      <c r="I399" s="14" t="s">
        <v>1017</v>
      </c>
      <c r="J399" s="25" t="s">
        <v>1468</v>
      </c>
      <c r="L399" t="s">
        <v>396</v>
      </c>
    </row>
    <row r="400" spans="1:13" x14ac:dyDescent="0.55000000000000004">
      <c r="A400" s="13" t="s">
        <v>1018</v>
      </c>
      <c r="B400" t="s">
        <v>23</v>
      </c>
      <c r="C400" t="s">
        <v>1006</v>
      </c>
      <c r="D400" t="s">
        <v>18</v>
      </c>
      <c r="F400" t="s">
        <v>1007</v>
      </c>
      <c r="G400" t="s">
        <v>1008</v>
      </c>
      <c r="I400" s="14" t="s">
        <v>1019</v>
      </c>
      <c r="J400" s="25" t="s">
        <v>1468</v>
      </c>
    </row>
    <row r="401" spans="1:16" x14ac:dyDescent="0.55000000000000004">
      <c r="A401" s="13" t="s">
        <v>1020</v>
      </c>
      <c r="B401" t="s">
        <v>16</v>
      </c>
      <c r="C401" t="s">
        <v>1021</v>
      </c>
      <c r="D401" t="s">
        <v>18</v>
      </c>
      <c r="F401" t="s">
        <v>27</v>
      </c>
      <c r="G401" t="s">
        <v>352</v>
      </c>
      <c r="I401" s="14" t="s">
        <v>1022</v>
      </c>
      <c r="J401" s="25" t="s">
        <v>1468</v>
      </c>
      <c r="P401" t="s">
        <v>354</v>
      </c>
    </row>
    <row r="402" spans="1:16" x14ac:dyDescent="0.55000000000000004">
      <c r="A402" s="13" t="s">
        <v>1023</v>
      </c>
      <c r="B402" t="s">
        <v>23</v>
      </c>
      <c r="C402" t="s">
        <v>1021</v>
      </c>
      <c r="D402" t="s">
        <v>18</v>
      </c>
      <c r="F402" t="s">
        <v>27</v>
      </c>
      <c r="G402" t="s">
        <v>352</v>
      </c>
      <c r="I402" s="14" t="s">
        <v>1024</v>
      </c>
      <c r="J402" s="25" t="s">
        <v>1468</v>
      </c>
      <c r="P402" t="s">
        <v>354</v>
      </c>
    </row>
    <row r="403" spans="1:16" x14ac:dyDescent="0.55000000000000004">
      <c r="A403" s="13" t="s">
        <v>1025</v>
      </c>
      <c r="B403" t="s">
        <v>16</v>
      </c>
      <c r="C403" t="s">
        <v>1021</v>
      </c>
      <c r="D403" t="s">
        <v>331</v>
      </c>
      <c r="F403" t="s">
        <v>27</v>
      </c>
      <c r="G403" t="s">
        <v>352</v>
      </c>
      <c r="I403" s="14" t="s">
        <v>1026</v>
      </c>
      <c r="J403" s="25" t="s">
        <v>1441</v>
      </c>
      <c r="P403" t="s">
        <v>354</v>
      </c>
    </row>
    <row r="404" spans="1:16" x14ac:dyDescent="0.55000000000000004">
      <c r="A404" s="13" t="s">
        <v>1027</v>
      </c>
      <c r="C404" t="s">
        <v>648</v>
      </c>
      <c r="F404" t="s">
        <v>649</v>
      </c>
      <c r="G404" t="s">
        <v>650</v>
      </c>
      <c r="H404" t="s">
        <v>651</v>
      </c>
      <c r="I404" s="14" t="s">
        <v>1028</v>
      </c>
      <c r="J404" s="25" t="s">
        <v>1435</v>
      </c>
    </row>
    <row r="405" spans="1:16" x14ac:dyDescent="0.55000000000000004">
      <c r="A405" s="13" t="s">
        <v>1029</v>
      </c>
      <c r="C405" t="s">
        <v>648</v>
      </c>
      <c r="F405" t="s">
        <v>649</v>
      </c>
      <c r="G405" t="s">
        <v>650</v>
      </c>
      <c r="H405" t="s">
        <v>651</v>
      </c>
      <c r="I405" s="14" t="s">
        <v>1030</v>
      </c>
      <c r="J405" s="25" t="s">
        <v>1435</v>
      </c>
    </row>
    <row r="406" spans="1:16" x14ac:dyDescent="0.55000000000000004">
      <c r="A406" s="13" t="s">
        <v>1031</v>
      </c>
      <c r="C406" t="s">
        <v>648</v>
      </c>
      <c r="F406" t="s">
        <v>649</v>
      </c>
      <c r="G406" t="s">
        <v>650</v>
      </c>
      <c r="H406" t="s">
        <v>651</v>
      </c>
      <c r="I406" s="14" t="s">
        <v>1032</v>
      </c>
      <c r="J406" s="25" t="s">
        <v>1435</v>
      </c>
    </row>
    <row r="407" spans="1:16" x14ac:dyDescent="0.55000000000000004">
      <c r="A407" s="13" t="s">
        <v>1033</v>
      </c>
      <c r="C407" t="s">
        <v>648</v>
      </c>
      <c r="F407" t="s">
        <v>649</v>
      </c>
      <c r="G407" t="s">
        <v>650</v>
      </c>
      <c r="H407" t="s">
        <v>651</v>
      </c>
      <c r="I407" s="14" t="s">
        <v>1034</v>
      </c>
      <c r="J407" s="25" t="s">
        <v>1435</v>
      </c>
    </row>
    <row r="408" spans="1:16" x14ac:dyDescent="0.55000000000000004">
      <c r="A408" s="13" t="s">
        <v>1035</v>
      </c>
      <c r="C408" t="s">
        <v>648</v>
      </c>
      <c r="F408" t="s">
        <v>649</v>
      </c>
      <c r="G408" t="s">
        <v>650</v>
      </c>
      <c r="H408" t="s">
        <v>651</v>
      </c>
      <c r="I408" s="14" t="s">
        <v>1036</v>
      </c>
      <c r="J408" s="25" t="s">
        <v>1435</v>
      </c>
    </row>
    <row r="409" spans="1:16" x14ac:dyDescent="0.55000000000000004">
      <c r="A409" s="13" t="s">
        <v>1037</v>
      </c>
      <c r="C409" t="s">
        <v>648</v>
      </c>
      <c r="F409" t="s">
        <v>649</v>
      </c>
      <c r="G409" t="s">
        <v>650</v>
      </c>
      <c r="H409" t="s">
        <v>651</v>
      </c>
      <c r="I409" s="14" t="s">
        <v>1038</v>
      </c>
      <c r="J409" s="25" t="s">
        <v>1435</v>
      </c>
    </row>
    <row r="410" spans="1:16" x14ac:dyDescent="0.55000000000000004">
      <c r="A410" s="13" t="s">
        <v>1039</v>
      </c>
      <c r="C410" t="s">
        <v>916</v>
      </c>
      <c r="E410">
        <v>4</v>
      </c>
      <c r="F410" t="s">
        <v>91</v>
      </c>
      <c r="G410" t="s">
        <v>700</v>
      </c>
      <c r="I410" s="14" t="s">
        <v>1040</v>
      </c>
      <c r="J410" s="25" t="s">
        <v>1484</v>
      </c>
    </row>
    <row r="411" spans="1:16" x14ac:dyDescent="0.55000000000000004">
      <c r="A411" s="13" t="s">
        <v>1041</v>
      </c>
      <c r="C411" t="s">
        <v>919</v>
      </c>
      <c r="E411">
        <v>4</v>
      </c>
      <c r="F411" t="s">
        <v>91</v>
      </c>
      <c r="G411" t="s">
        <v>700</v>
      </c>
      <c r="I411" s="14" t="s">
        <v>1042</v>
      </c>
      <c r="J411" s="25" t="s">
        <v>1484</v>
      </c>
    </row>
    <row r="412" spans="1:16" x14ac:dyDescent="0.55000000000000004">
      <c r="A412" s="13" t="s">
        <v>1043</v>
      </c>
      <c r="C412" t="s">
        <v>931</v>
      </c>
      <c r="E412">
        <v>4</v>
      </c>
      <c r="F412" t="s">
        <v>91</v>
      </c>
      <c r="G412" t="s">
        <v>700</v>
      </c>
      <c r="I412" s="14" t="s">
        <v>1044</v>
      </c>
      <c r="J412" s="25" t="s">
        <v>1484</v>
      </c>
    </row>
    <row r="413" spans="1:16" x14ac:dyDescent="0.55000000000000004">
      <c r="A413" s="13" t="s">
        <v>1045</v>
      </c>
      <c r="C413" t="s">
        <v>949</v>
      </c>
      <c r="E413">
        <v>4</v>
      </c>
      <c r="F413" t="s">
        <v>91</v>
      </c>
      <c r="G413" t="s">
        <v>700</v>
      </c>
      <c r="I413" s="14" t="s">
        <v>1046</v>
      </c>
      <c r="J413" s="25" t="s">
        <v>1484</v>
      </c>
    </row>
    <row r="414" spans="1:16" x14ac:dyDescent="0.55000000000000004">
      <c r="A414" s="13" t="s">
        <v>1047</v>
      </c>
      <c r="B414" t="s">
        <v>16</v>
      </c>
      <c r="C414" t="s">
        <v>1048</v>
      </c>
      <c r="D414" t="s">
        <v>18</v>
      </c>
      <c r="F414" t="s">
        <v>596</v>
      </c>
      <c r="G414" t="s">
        <v>326</v>
      </c>
      <c r="I414" s="14" t="s">
        <v>1049</v>
      </c>
      <c r="J414" s="25" t="s">
        <v>1468</v>
      </c>
    </row>
    <row r="415" spans="1:16" x14ac:dyDescent="0.55000000000000004">
      <c r="A415" s="13" t="s">
        <v>1050</v>
      </c>
      <c r="B415" t="s">
        <v>23</v>
      </c>
      <c r="C415" t="s">
        <v>1048</v>
      </c>
      <c r="D415" t="s">
        <v>18</v>
      </c>
      <c r="F415" t="s">
        <v>596</v>
      </c>
      <c r="G415" t="s">
        <v>326</v>
      </c>
      <c r="I415" s="14" t="s">
        <v>1051</v>
      </c>
      <c r="J415" s="25" t="s">
        <v>1468</v>
      </c>
    </row>
    <row r="416" spans="1:16" x14ac:dyDescent="0.55000000000000004">
      <c r="A416" s="13" t="s">
        <v>1052</v>
      </c>
      <c r="B416" t="s">
        <v>16</v>
      </c>
      <c r="C416" t="s">
        <v>1048</v>
      </c>
      <c r="D416" t="s">
        <v>331</v>
      </c>
      <c r="F416" t="s">
        <v>596</v>
      </c>
      <c r="G416" t="s">
        <v>326</v>
      </c>
      <c r="I416" s="14" t="s">
        <v>1053</v>
      </c>
      <c r="J416" s="25" t="s">
        <v>1441</v>
      </c>
    </row>
    <row r="417" spans="1:14" x14ac:dyDescent="0.55000000000000004">
      <c r="A417" s="13" t="s">
        <v>1054</v>
      </c>
      <c r="B417" t="s">
        <v>90</v>
      </c>
      <c r="C417" t="s">
        <v>1048</v>
      </c>
      <c r="D417" t="s">
        <v>316</v>
      </c>
      <c r="G417" t="s">
        <v>318</v>
      </c>
      <c r="I417" s="14" t="s">
        <v>1055</v>
      </c>
      <c r="J417" s="25" t="s">
        <v>1426</v>
      </c>
    </row>
    <row r="418" spans="1:14" x14ac:dyDescent="0.55000000000000004">
      <c r="A418" s="13" t="s">
        <v>1056</v>
      </c>
      <c r="B418" t="s">
        <v>16</v>
      </c>
      <c r="C418" t="s">
        <v>1048</v>
      </c>
      <c r="D418" t="s">
        <v>321</v>
      </c>
      <c r="G418" t="s">
        <v>364</v>
      </c>
      <c r="I418" s="14" t="s">
        <v>1057</v>
      </c>
      <c r="J418" s="25" t="s">
        <v>1426</v>
      </c>
    </row>
    <row r="419" spans="1:14" x14ac:dyDescent="0.55000000000000004">
      <c r="A419" s="13" t="s">
        <v>1058</v>
      </c>
      <c r="B419" t="s">
        <v>90</v>
      </c>
      <c r="C419" t="s">
        <v>1059</v>
      </c>
      <c r="D419" t="s">
        <v>316</v>
      </c>
      <c r="F419" t="s">
        <v>317</v>
      </c>
      <c r="G419" t="s">
        <v>318</v>
      </c>
      <c r="I419" s="14" t="s">
        <v>1060</v>
      </c>
      <c r="J419" s="25" t="s">
        <v>1426</v>
      </c>
    </row>
    <row r="420" spans="1:14" x14ac:dyDescent="0.55000000000000004">
      <c r="A420" s="13" t="s">
        <v>1061</v>
      </c>
      <c r="B420" t="s">
        <v>16</v>
      </c>
      <c r="C420" t="s">
        <v>1062</v>
      </c>
      <c r="D420" t="s">
        <v>18</v>
      </c>
      <c r="F420" t="s">
        <v>1063</v>
      </c>
      <c r="G420" t="s">
        <v>326</v>
      </c>
      <c r="I420" s="14" t="s">
        <v>1064</v>
      </c>
      <c r="J420" s="25" t="s">
        <v>1468</v>
      </c>
    </row>
    <row r="421" spans="1:14" x14ac:dyDescent="0.55000000000000004">
      <c r="A421" s="13" t="s">
        <v>1065</v>
      </c>
      <c r="B421" t="s">
        <v>23</v>
      </c>
      <c r="C421" t="s">
        <v>1062</v>
      </c>
      <c r="D421" t="s">
        <v>18</v>
      </c>
      <c r="F421" t="s">
        <v>1063</v>
      </c>
      <c r="G421" t="s">
        <v>326</v>
      </c>
      <c r="I421" s="14" t="s">
        <v>1066</v>
      </c>
      <c r="J421" s="25" t="s">
        <v>1468</v>
      </c>
    </row>
    <row r="422" spans="1:14" x14ac:dyDescent="0.55000000000000004">
      <c r="A422" s="13" t="s">
        <v>1067</v>
      </c>
      <c r="B422" t="s">
        <v>16</v>
      </c>
      <c r="C422" t="s">
        <v>1062</v>
      </c>
      <c r="D422" t="s">
        <v>331</v>
      </c>
      <c r="F422" t="s">
        <v>1063</v>
      </c>
      <c r="G422" t="s">
        <v>326</v>
      </c>
      <c r="I422" s="14" t="s">
        <v>1068</v>
      </c>
      <c r="J422" s="25" t="s">
        <v>1441</v>
      </c>
    </row>
    <row r="423" spans="1:14" x14ac:dyDescent="0.55000000000000004">
      <c r="A423" s="13" t="s">
        <v>1069</v>
      </c>
      <c r="B423" t="s">
        <v>16</v>
      </c>
      <c r="C423" t="s">
        <v>1070</v>
      </c>
      <c r="D423" t="s">
        <v>18</v>
      </c>
      <c r="F423" t="s">
        <v>27</v>
      </c>
      <c r="G423" t="s">
        <v>340</v>
      </c>
      <c r="I423" s="14" t="s">
        <v>1071</v>
      </c>
      <c r="J423" s="25" t="s">
        <v>1468</v>
      </c>
    </row>
    <row r="424" spans="1:14" x14ac:dyDescent="0.55000000000000004">
      <c r="A424" s="13" t="s">
        <v>1072</v>
      </c>
      <c r="B424" t="s">
        <v>23</v>
      </c>
      <c r="C424" t="s">
        <v>1070</v>
      </c>
      <c r="D424" t="s">
        <v>18</v>
      </c>
      <c r="F424" t="s">
        <v>27</v>
      </c>
      <c r="G424" t="s">
        <v>340</v>
      </c>
      <c r="I424" s="14" t="s">
        <v>1073</v>
      </c>
      <c r="J424" s="25" t="s">
        <v>1468</v>
      </c>
    </row>
    <row r="425" spans="1:14" x14ac:dyDescent="0.55000000000000004">
      <c r="A425" s="13" t="s">
        <v>1074</v>
      </c>
      <c r="B425" t="s">
        <v>90</v>
      </c>
      <c r="C425" t="s">
        <v>1075</v>
      </c>
      <c r="D425" t="s">
        <v>316</v>
      </c>
      <c r="F425" t="s">
        <v>317</v>
      </c>
      <c r="G425" t="s">
        <v>318</v>
      </c>
      <c r="I425" s="14" t="s">
        <v>1076</v>
      </c>
      <c r="J425" s="25" t="s">
        <v>1426</v>
      </c>
    </row>
    <row r="426" spans="1:14" x14ac:dyDescent="0.55000000000000004">
      <c r="A426" s="13" t="s">
        <v>1077</v>
      </c>
      <c r="B426" t="s">
        <v>16</v>
      </c>
      <c r="C426" t="s">
        <v>1075</v>
      </c>
      <c r="D426" t="s">
        <v>321</v>
      </c>
      <c r="F426" t="s">
        <v>317</v>
      </c>
      <c r="G426" t="s">
        <v>318</v>
      </c>
      <c r="I426" s="14" t="s">
        <v>1078</v>
      </c>
      <c r="J426" s="25" t="s">
        <v>1426</v>
      </c>
      <c r="N426" t="s">
        <v>323</v>
      </c>
    </row>
    <row r="427" spans="1:14" x14ac:dyDescent="0.55000000000000004">
      <c r="A427" s="13" t="s">
        <v>1079</v>
      </c>
      <c r="B427" t="s">
        <v>16</v>
      </c>
      <c r="C427" t="s">
        <v>1075</v>
      </c>
      <c r="D427" t="s">
        <v>18</v>
      </c>
      <c r="F427" t="s">
        <v>27</v>
      </c>
      <c r="G427" t="s">
        <v>326</v>
      </c>
      <c r="I427" s="14" t="s">
        <v>1080</v>
      </c>
      <c r="J427" s="25" t="s">
        <v>1468</v>
      </c>
    </row>
    <row r="428" spans="1:14" x14ac:dyDescent="0.55000000000000004">
      <c r="A428" s="13" t="s">
        <v>1081</v>
      </c>
      <c r="B428" t="s">
        <v>23</v>
      </c>
      <c r="C428" t="s">
        <v>1075</v>
      </c>
      <c r="D428" t="s">
        <v>18</v>
      </c>
      <c r="F428" t="s">
        <v>27</v>
      </c>
      <c r="G428" t="s">
        <v>326</v>
      </c>
      <c r="I428" s="14" t="s">
        <v>1082</v>
      </c>
      <c r="J428" s="25" t="s">
        <v>1468</v>
      </c>
    </row>
    <row r="429" spans="1:14" x14ac:dyDescent="0.55000000000000004">
      <c r="A429" s="13" t="s">
        <v>1083</v>
      </c>
      <c r="B429" t="s">
        <v>16</v>
      </c>
      <c r="C429" t="s">
        <v>1075</v>
      </c>
      <c r="D429" t="s">
        <v>331</v>
      </c>
      <c r="F429" t="s">
        <v>27</v>
      </c>
      <c r="G429" t="s">
        <v>326</v>
      </c>
      <c r="I429" s="14" t="s">
        <v>1084</v>
      </c>
      <c r="J429" s="25" t="s">
        <v>1441</v>
      </c>
    </row>
    <row r="430" spans="1:14" x14ac:dyDescent="0.55000000000000004">
      <c r="A430" s="13" t="s">
        <v>1085</v>
      </c>
      <c r="B430" t="s">
        <v>16</v>
      </c>
      <c r="C430" t="s">
        <v>1075</v>
      </c>
      <c r="D430" t="s">
        <v>18</v>
      </c>
      <c r="F430" t="s">
        <v>990</v>
      </c>
      <c r="G430" t="s">
        <v>334</v>
      </c>
      <c r="I430" s="14" t="s">
        <v>1086</v>
      </c>
      <c r="J430" s="25" t="s">
        <v>1468</v>
      </c>
    </row>
    <row r="431" spans="1:14" x14ac:dyDescent="0.55000000000000004">
      <c r="A431" s="13" t="s">
        <v>1087</v>
      </c>
      <c r="B431" t="s">
        <v>23</v>
      </c>
      <c r="C431" t="s">
        <v>1075</v>
      </c>
      <c r="D431" t="s">
        <v>18</v>
      </c>
      <c r="F431" t="s">
        <v>990</v>
      </c>
      <c r="G431" t="s">
        <v>334</v>
      </c>
      <c r="I431" s="14" t="s">
        <v>1088</v>
      </c>
      <c r="J431" s="25" t="s">
        <v>1468</v>
      </c>
    </row>
    <row r="432" spans="1:14" x14ac:dyDescent="0.55000000000000004">
      <c r="A432" s="13" t="s">
        <v>1089</v>
      </c>
      <c r="B432" t="s">
        <v>16</v>
      </c>
      <c r="C432" t="s">
        <v>1075</v>
      </c>
      <c r="D432" t="s">
        <v>331</v>
      </c>
      <c r="F432" t="s">
        <v>345</v>
      </c>
      <c r="G432" t="s">
        <v>318</v>
      </c>
      <c r="I432" s="14" t="s">
        <v>1090</v>
      </c>
      <c r="J432" s="25" t="s">
        <v>1426</v>
      </c>
    </row>
    <row r="433" spans="1:16" x14ac:dyDescent="0.55000000000000004">
      <c r="A433" s="13" t="s">
        <v>1091</v>
      </c>
      <c r="B433" t="s">
        <v>16</v>
      </c>
      <c r="C433" t="s">
        <v>1075</v>
      </c>
      <c r="D433" t="s">
        <v>331</v>
      </c>
      <c r="F433" t="s">
        <v>348</v>
      </c>
      <c r="G433" t="s">
        <v>318</v>
      </c>
      <c r="I433" s="14" t="s">
        <v>1092</v>
      </c>
      <c r="J433" s="25" t="s">
        <v>1426</v>
      </c>
    </row>
    <row r="434" spans="1:16" x14ac:dyDescent="0.55000000000000004">
      <c r="A434" s="13" t="s">
        <v>1093</v>
      </c>
      <c r="B434" t="s">
        <v>90</v>
      </c>
      <c r="C434" t="s">
        <v>1094</v>
      </c>
      <c r="D434" t="s">
        <v>316</v>
      </c>
      <c r="F434" t="s">
        <v>317</v>
      </c>
      <c r="G434" t="s">
        <v>318</v>
      </c>
      <c r="I434" s="14" t="s">
        <v>1095</v>
      </c>
      <c r="J434" s="25" t="s">
        <v>1426</v>
      </c>
    </row>
    <row r="435" spans="1:16" x14ac:dyDescent="0.55000000000000004">
      <c r="A435" s="13" t="s">
        <v>1096</v>
      </c>
      <c r="B435" t="s">
        <v>16</v>
      </c>
      <c r="C435" t="s">
        <v>1094</v>
      </c>
      <c r="D435" t="s">
        <v>321</v>
      </c>
      <c r="F435" t="s">
        <v>317</v>
      </c>
      <c r="G435" t="s">
        <v>318</v>
      </c>
      <c r="I435" s="14" t="s">
        <v>1097</v>
      </c>
      <c r="J435" s="25" t="s">
        <v>1426</v>
      </c>
      <c r="N435" t="s">
        <v>323</v>
      </c>
    </row>
    <row r="436" spans="1:16" x14ac:dyDescent="0.55000000000000004">
      <c r="A436" s="13" t="s">
        <v>1098</v>
      </c>
      <c r="B436" t="s">
        <v>16</v>
      </c>
      <c r="C436" t="s">
        <v>1094</v>
      </c>
      <c r="D436" t="s">
        <v>331</v>
      </c>
      <c r="F436" t="s">
        <v>345</v>
      </c>
      <c r="G436" t="s">
        <v>318</v>
      </c>
      <c r="I436" s="14" t="s">
        <v>1099</v>
      </c>
      <c r="J436" s="25" t="s">
        <v>1426</v>
      </c>
    </row>
    <row r="437" spans="1:16" x14ac:dyDescent="0.55000000000000004">
      <c r="A437" s="13" t="s">
        <v>1100</v>
      </c>
      <c r="B437" t="s">
        <v>16</v>
      </c>
      <c r="C437" t="s">
        <v>1094</v>
      </c>
      <c r="D437" t="s">
        <v>331</v>
      </c>
      <c r="F437" t="s">
        <v>348</v>
      </c>
      <c r="G437" t="s">
        <v>318</v>
      </c>
      <c r="I437" s="14" t="s">
        <v>1101</v>
      </c>
      <c r="J437" s="25" t="s">
        <v>1426</v>
      </c>
    </row>
    <row r="438" spans="1:16" x14ac:dyDescent="0.55000000000000004">
      <c r="A438" s="13" t="s">
        <v>1102</v>
      </c>
      <c r="B438" t="s">
        <v>16</v>
      </c>
      <c r="C438" t="s">
        <v>1103</v>
      </c>
      <c r="D438" t="s">
        <v>18</v>
      </c>
      <c r="F438" t="s">
        <v>33</v>
      </c>
      <c r="G438" t="s">
        <v>352</v>
      </c>
      <c r="I438" s="14" t="s">
        <v>1104</v>
      </c>
      <c r="J438" s="25" t="s">
        <v>1468</v>
      </c>
      <c r="P438" t="s">
        <v>1105</v>
      </c>
    </row>
    <row r="439" spans="1:16" x14ac:dyDescent="0.55000000000000004">
      <c r="A439" s="13" t="s">
        <v>1106</v>
      </c>
      <c r="B439" t="s">
        <v>23</v>
      </c>
      <c r="C439" t="s">
        <v>1103</v>
      </c>
      <c r="D439" t="s">
        <v>18</v>
      </c>
      <c r="F439" t="s">
        <v>33</v>
      </c>
      <c r="G439" t="s">
        <v>352</v>
      </c>
      <c r="I439" s="14" t="s">
        <v>1107</v>
      </c>
      <c r="J439" s="25" t="s">
        <v>1468</v>
      </c>
      <c r="P439" t="s">
        <v>1105</v>
      </c>
    </row>
    <row r="440" spans="1:16" x14ac:dyDescent="0.55000000000000004">
      <c r="A440" s="13" t="s">
        <v>1108</v>
      </c>
      <c r="B440" t="s">
        <v>16</v>
      </c>
      <c r="C440" t="s">
        <v>1103</v>
      </c>
      <c r="D440" t="s">
        <v>331</v>
      </c>
      <c r="F440" t="s">
        <v>33</v>
      </c>
      <c r="G440" t="s">
        <v>352</v>
      </c>
      <c r="I440" s="14" t="s">
        <v>1109</v>
      </c>
      <c r="J440" s="25" t="s">
        <v>1441</v>
      </c>
      <c r="P440" t="s">
        <v>1105</v>
      </c>
    </row>
    <row r="441" spans="1:16" x14ac:dyDescent="0.55000000000000004">
      <c r="A441" s="13" t="s">
        <v>1110</v>
      </c>
      <c r="B441" t="s">
        <v>16</v>
      </c>
      <c r="C441" t="s">
        <v>1111</v>
      </c>
      <c r="D441" t="s">
        <v>331</v>
      </c>
      <c r="F441" t="s">
        <v>1112</v>
      </c>
      <c r="G441" t="s">
        <v>469</v>
      </c>
      <c r="I441" s="14" t="s">
        <v>1113</v>
      </c>
      <c r="J441" s="25" t="s">
        <v>1431</v>
      </c>
    </row>
    <row r="442" spans="1:16" x14ac:dyDescent="0.55000000000000004">
      <c r="A442" s="13" t="s">
        <v>1114</v>
      </c>
      <c r="B442" t="s">
        <v>16</v>
      </c>
      <c r="C442" t="s">
        <v>1115</v>
      </c>
      <c r="D442" t="s">
        <v>331</v>
      </c>
      <c r="F442" t="s">
        <v>1116</v>
      </c>
      <c r="G442" t="s">
        <v>469</v>
      </c>
      <c r="I442" s="14" t="s">
        <v>1117</v>
      </c>
      <c r="J442" s="25" t="s">
        <v>1431</v>
      </c>
    </row>
    <row r="443" spans="1:16" x14ac:dyDescent="0.55000000000000004">
      <c r="A443" s="13" t="s">
        <v>1118</v>
      </c>
      <c r="B443" t="s">
        <v>16</v>
      </c>
      <c r="C443" t="s">
        <v>1048</v>
      </c>
      <c r="D443" t="s">
        <v>331</v>
      </c>
      <c r="G443" t="s">
        <v>469</v>
      </c>
      <c r="I443" s="14" t="s">
        <v>1119</v>
      </c>
      <c r="J443" s="25" t="s">
        <v>1431</v>
      </c>
      <c r="L443" t="s">
        <v>538</v>
      </c>
    </row>
    <row r="444" spans="1:16" x14ac:dyDescent="0.55000000000000004">
      <c r="A444" s="13" t="s">
        <v>1120</v>
      </c>
      <c r="B444" t="s">
        <v>16</v>
      </c>
      <c r="C444" t="s">
        <v>1121</v>
      </c>
      <c r="D444" t="s">
        <v>331</v>
      </c>
      <c r="F444" t="s">
        <v>1122</v>
      </c>
      <c r="G444" t="s">
        <v>469</v>
      </c>
      <c r="I444" s="14" t="s">
        <v>1123</v>
      </c>
      <c r="J444" s="25" t="s">
        <v>1431</v>
      </c>
      <c r="M444" t="s">
        <v>1124</v>
      </c>
      <c r="N444" t="s">
        <v>1124</v>
      </c>
    </row>
    <row r="445" spans="1:16" x14ac:dyDescent="0.55000000000000004">
      <c r="A445" s="13" t="s">
        <v>1125</v>
      </c>
      <c r="C445" t="s">
        <v>1126</v>
      </c>
      <c r="G445" t="s">
        <v>469</v>
      </c>
      <c r="I445" s="14" t="s">
        <v>1125</v>
      </c>
      <c r="J445" s="25" t="s">
        <v>1431</v>
      </c>
    </row>
    <row r="446" spans="1:16" x14ac:dyDescent="0.55000000000000004">
      <c r="A446" s="13" t="s">
        <v>1127</v>
      </c>
      <c r="B446" t="s">
        <v>16</v>
      </c>
      <c r="C446" t="s">
        <v>1128</v>
      </c>
      <c r="D446" t="s">
        <v>18</v>
      </c>
      <c r="F446" t="s">
        <v>33</v>
      </c>
      <c r="G446" t="s">
        <v>352</v>
      </c>
      <c r="I446" s="14" t="s">
        <v>1129</v>
      </c>
      <c r="J446" s="25" t="s">
        <v>1468</v>
      </c>
    </row>
    <row r="447" spans="1:16" x14ac:dyDescent="0.55000000000000004">
      <c r="A447" s="13" t="s">
        <v>1130</v>
      </c>
      <c r="B447" t="s">
        <v>23</v>
      </c>
      <c r="C447" t="s">
        <v>1128</v>
      </c>
      <c r="D447" t="s">
        <v>18</v>
      </c>
      <c r="F447" t="s">
        <v>33</v>
      </c>
      <c r="G447" t="s">
        <v>352</v>
      </c>
      <c r="I447" s="14" t="s">
        <v>1131</v>
      </c>
      <c r="J447" s="25" t="s">
        <v>1468</v>
      </c>
    </row>
    <row r="448" spans="1:16" x14ac:dyDescent="0.55000000000000004">
      <c r="A448" s="13" t="s">
        <v>1132</v>
      </c>
      <c r="B448" t="s">
        <v>16</v>
      </c>
      <c r="C448" t="s">
        <v>1128</v>
      </c>
      <c r="D448" t="s">
        <v>331</v>
      </c>
      <c r="F448" t="s">
        <v>33</v>
      </c>
      <c r="G448" t="s">
        <v>352</v>
      </c>
      <c r="I448" s="14" t="s">
        <v>1133</v>
      </c>
      <c r="J448" s="25" t="s">
        <v>1441</v>
      </c>
    </row>
    <row r="449" spans="1:10" x14ac:dyDescent="0.55000000000000004">
      <c r="A449" s="13" t="s">
        <v>1134</v>
      </c>
      <c r="B449" t="s">
        <v>16</v>
      </c>
      <c r="C449" t="s">
        <v>1135</v>
      </c>
      <c r="D449" t="s">
        <v>18</v>
      </c>
      <c r="F449" t="s">
        <v>27</v>
      </c>
      <c r="G449" t="s">
        <v>352</v>
      </c>
      <c r="I449" s="14" t="s">
        <v>1136</v>
      </c>
      <c r="J449" s="25" t="s">
        <v>1468</v>
      </c>
    </row>
    <row r="450" spans="1:10" x14ac:dyDescent="0.55000000000000004">
      <c r="A450" s="13" t="s">
        <v>1137</v>
      </c>
      <c r="B450" t="s">
        <v>23</v>
      </c>
      <c r="C450" t="s">
        <v>1135</v>
      </c>
      <c r="D450" t="s">
        <v>18</v>
      </c>
      <c r="F450" t="s">
        <v>27</v>
      </c>
      <c r="G450" t="s">
        <v>352</v>
      </c>
      <c r="I450" s="14" t="s">
        <v>1138</v>
      </c>
      <c r="J450" s="25" t="s">
        <v>1468</v>
      </c>
    </row>
    <row r="451" spans="1:10" x14ac:dyDescent="0.55000000000000004">
      <c r="A451" s="13" t="s">
        <v>1139</v>
      </c>
      <c r="B451" t="s">
        <v>16</v>
      </c>
      <c r="C451" t="s">
        <v>1135</v>
      </c>
      <c r="D451" t="s">
        <v>331</v>
      </c>
      <c r="F451" t="s">
        <v>27</v>
      </c>
      <c r="G451" t="s">
        <v>352</v>
      </c>
      <c r="I451" s="14" t="s">
        <v>1140</v>
      </c>
      <c r="J451" s="25" t="s">
        <v>1441</v>
      </c>
    </row>
    <row r="452" spans="1:10" x14ac:dyDescent="0.55000000000000004">
      <c r="A452" s="13" t="s">
        <v>1141</v>
      </c>
      <c r="C452" t="s">
        <v>906</v>
      </c>
      <c r="E452">
        <v>3</v>
      </c>
      <c r="F452" t="s">
        <v>645</v>
      </c>
      <c r="G452" t="s">
        <v>700</v>
      </c>
      <c r="I452" s="14" t="s">
        <v>1142</v>
      </c>
      <c r="J452" s="25" t="s">
        <v>1484</v>
      </c>
    </row>
    <row r="453" spans="1:10" x14ac:dyDescent="0.55000000000000004">
      <c r="A453" s="13" t="s">
        <v>1143</v>
      </c>
      <c r="C453" t="s">
        <v>910</v>
      </c>
      <c r="E453">
        <v>3</v>
      </c>
      <c r="F453" t="s">
        <v>91</v>
      </c>
      <c r="G453" t="s">
        <v>700</v>
      </c>
      <c r="I453" s="14" t="s">
        <v>1144</v>
      </c>
      <c r="J453" s="25" t="s">
        <v>1484</v>
      </c>
    </row>
    <row r="454" spans="1:10" x14ac:dyDescent="0.55000000000000004">
      <c r="A454" s="13" t="s">
        <v>1145</v>
      </c>
      <c r="C454" t="s">
        <v>913</v>
      </c>
      <c r="E454">
        <v>3</v>
      </c>
      <c r="F454" t="s">
        <v>645</v>
      </c>
      <c r="G454" t="s">
        <v>700</v>
      </c>
      <c r="I454" s="14" t="s">
        <v>1146</v>
      </c>
      <c r="J454" s="25" t="s">
        <v>1484</v>
      </c>
    </row>
    <row r="455" spans="1:10" x14ac:dyDescent="0.55000000000000004">
      <c r="A455" s="13" t="s">
        <v>1147</v>
      </c>
      <c r="C455" t="s">
        <v>916</v>
      </c>
      <c r="E455">
        <v>3</v>
      </c>
      <c r="F455" t="s">
        <v>91</v>
      </c>
      <c r="G455" t="s">
        <v>700</v>
      </c>
      <c r="I455" s="14" t="s">
        <v>1148</v>
      </c>
      <c r="J455" s="25" t="s">
        <v>1484</v>
      </c>
    </row>
    <row r="456" spans="1:10" x14ac:dyDescent="0.55000000000000004">
      <c r="A456" s="13" t="s">
        <v>1149</v>
      </c>
      <c r="C456" t="s">
        <v>919</v>
      </c>
      <c r="E456">
        <v>3</v>
      </c>
      <c r="F456" t="s">
        <v>91</v>
      </c>
      <c r="G456" t="s">
        <v>700</v>
      </c>
      <c r="I456" s="14" t="s">
        <v>1150</v>
      </c>
      <c r="J456" s="25" t="s">
        <v>1484</v>
      </c>
    </row>
    <row r="457" spans="1:10" x14ac:dyDescent="0.55000000000000004">
      <c r="A457" s="13" t="s">
        <v>1151</v>
      </c>
      <c r="C457" t="s">
        <v>931</v>
      </c>
      <c r="E457">
        <v>3</v>
      </c>
      <c r="F457" t="s">
        <v>91</v>
      </c>
      <c r="G457" t="s">
        <v>700</v>
      </c>
      <c r="I457" s="14" t="s">
        <v>1152</v>
      </c>
      <c r="J457" s="25" t="s">
        <v>1484</v>
      </c>
    </row>
    <row r="458" spans="1:10" x14ac:dyDescent="0.55000000000000004">
      <c r="A458" s="13" t="s">
        <v>1153</v>
      </c>
      <c r="C458" t="s">
        <v>949</v>
      </c>
      <c r="E458">
        <v>3</v>
      </c>
      <c r="F458" t="s">
        <v>91</v>
      </c>
      <c r="G458" t="s">
        <v>700</v>
      </c>
      <c r="I458" s="14" t="s">
        <v>1154</v>
      </c>
      <c r="J458" s="25" t="s">
        <v>1484</v>
      </c>
    </row>
    <row r="459" spans="1:10" x14ac:dyDescent="0.55000000000000004">
      <c r="A459" s="13" t="s">
        <v>1155</v>
      </c>
      <c r="C459" t="s">
        <v>952</v>
      </c>
      <c r="E459">
        <v>3</v>
      </c>
      <c r="F459" t="s">
        <v>91</v>
      </c>
      <c r="G459" t="s">
        <v>700</v>
      </c>
      <c r="I459" s="14" t="s">
        <v>1156</v>
      </c>
      <c r="J459" s="25" t="s">
        <v>1484</v>
      </c>
    </row>
    <row r="460" spans="1:10" x14ac:dyDescent="0.55000000000000004">
      <c r="A460" s="13" t="s">
        <v>1157</v>
      </c>
      <c r="C460" t="s">
        <v>955</v>
      </c>
      <c r="E460">
        <v>3</v>
      </c>
      <c r="G460" t="s">
        <v>700</v>
      </c>
      <c r="I460" s="14" t="s">
        <v>1157</v>
      </c>
      <c r="J460" s="25" t="s">
        <v>1484</v>
      </c>
    </row>
    <row r="461" spans="1:10" x14ac:dyDescent="0.55000000000000004">
      <c r="A461" s="13" t="s">
        <v>1158</v>
      </c>
      <c r="B461" t="s">
        <v>90</v>
      </c>
      <c r="C461" t="s">
        <v>1159</v>
      </c>
      <c r="D461" t="s">
        <v>316</v>
      </c>
      <c r="F461" t="s">
        <v>317</v>
      </c>
      <c r="G461" t="s">
        <v>318</v>
      </c>
      <c r="I461" s="14" t="s">
        <v>1160</v>
      </c>
      <c r="J461" s="25" t="s">
        <v>1426</v>
      </c>
    </row>
    <row r="462" spans="1:10" x14ac:dyDescent="0.55000000000000004">
      <c r="A462" s="13" t="s">
        <v>1161</v>
      </c>
      <c r="B462" t="s">
        <v>16</v>
      </c>
      <c r="C462" t="s">
        <v>1159</v>
      </c>
      <c r="D462" t="s">
        <v>321</v>
      </c>
      <c r="F462" t="s">
        <v>317</v>
      </c>
      <c r="G462" t="s">
        <v>492</v>
      </c>
      <c r="I462" s="14" t="s">
        <v>1162</v>
      </c>
      <c r="J462" s="25" t="s">
        <v>1426</v>
      </c>
    </row>
    <row r="463" spans="1:10" x14ac:dyDescent="0.55000000000000004">
      <c r="A463" s="13" t="s">
        <v>1163</v>
      </c>
      <c r="B463" t="s">
        <v>16</v>
      </c>
      <c r="C463" t="s">
        <v>1164</v>
      </c>
      <c r="D463" t="s">
        <v>18</v>
      </c>
      <c r="F463" t="s">
        <v>33</v>
      </c>
      <c r="G463" t="s">
        <v>352</v>
      </c>
      <c r="I463" s="14" t="s">
        <v>1165</v>
      </c>
      <c r="J463" s="25" t="s">
        <v>1468</v>
      </c>
    </row>
    <row r="464" spans="1:10" x14ac:dyDescent="0.55000000000000004">
      <c r="A464" s="13" t="s">
        <v>1166</v>
      </c>
      <c r="B464" t="s">
        <v>23</v>
      </c>
      <c r="C464" t="s">
        <v>1164</v>
      </c>
      <c r="D464" t="s">
        <v>18</v>
      </c>
      <c r="F464" t="s">
        <v>33</v>
      </c>
      <c r="G464" t="s">
        <v>352</v>
      </c>
      <c r="I464" s="14" t="s">
        <v>1167</v>
      </c>
      <c r="J464" s="25" t="s">
        <v>1468</v>
      </c>
    </row>
    <row r="465" spans="1:13" x14ac:dyDescent="0.55000000000000004">
      <c r="A465" s="13" t="s">
        <v>1168</v>
      </c>
      <c r="B465" t="s">
        <v>16</v>
      </c>
      <c r="C465" t="s">
        <v>1164</v>
      </c>
      <c r="D465" t="s">
        <v>331</v>
      </c>
      <c r="F465" t="s">
        <v>33</v>
      </c>
      <c r="G465" t="s">
        <v>352</v>
      </c>
      <c r="I465" s="14" t="s">
        <v>1169</v>
      </c>
      <c r="J465" s="25" t="s">
        <v>1441</v>
      </c>
    </row>
    <row r="466" spans="1:13" x14ac:dyDescent="0.55000000000000004">
      <c r="A466" s="13" t="s">
        <v>1170</v>
      </c>
      <c r="C466" t="s">
        <v>1171</v>
      </c>
      <c r="F466" t="s">
        <v>91</v>
      </c>
      <c r="G466" t="s">
        <v>706</v>
      </c>
      <c r="I466" s="14" t="s">
        <v>1172</v>
      </c>
      <c r="J466" s="25" t="s">
        <v>536</v>
      </c>
      <c r="L466" t="s">
        <v>396</v>
      </c>
      <c r="M466" t="s">
        <v>323</v>
      </c>
    </row>
    <row r="467" spans="1:13" x14ac:dyDescent="0.55000000000000004">
      <c r="A467" s="13" t="s">
        <v>1173</v>
      </c>
      <c r="C467" t="s">
        <v>1174</v>
      </c>
      <c r="F467" t="s">
        <v>91</v>
      </c>
      <c r="G467" t="s">
        <v>706</v>
      </c>
      <c r="I467" s="14" t="s">
        <v>1175</v>
      </c>
      <c r="J467" s="25" t="s">
        <v>536</v>
      </c>
    </row>
    <row r="468" spans="1:13" x14ac:dyDescent="0.55000000000000004">
      <c r="A468" s="13" t="s">
        <v>1176</v>
      </c>
      <c r="C468" t="s">
        <v>1177</v>
      </c>
      <c r="F468" t="s">
        <v>91</v>
      </c>
      <c r="G468" t="s">
        <v>706</v>
      </c>
      <c r="I468" s="14" t="s">
        <v>1178</v>
      </c>
      <c r="J468" s="25" t="s">
        <v>536</v>
      </c>
      <c r="L468" t="s">
        <v>538</v>
      </c>
      <c r="M468" t="s">
        <v>323</v>
      </c>
    </row>
    <row r="469" spans="1:13" x14ac:dyDescent="0.55000000000000004">
      <c r="A469" s="13" t="s">
        <v>1179</v>
      </c>
      <c r="B469" t="s">
        <v>90</v>
      </c>
      <c r="C469" t="s">
        <v>1180</v>
      </c>
      <c r="D469" t="s">
        <v>316</v>
      </c>
      <c r="F469" t="s">
        <v>317</v>
      </c>
      <c r="G469" t="s">
        <v>318</v>
      </c>
      <c r="I469" s="14" t="s">
        <v>1181</v>
      </c>
      <c r="J469" s="25" t="s">
        <v>1426</v>
      </c>
    </row>
    <row r="470" spans="1:13" x14ac:dyDescent="0.55000000000000004">
      <c r="A470" s="13" t="s">
        <v>1182</v>
      </c>
      <c r="B470" t="s">
        <v>16</v>
      </c>
      <c r="C470" t="s">
        <v>1183</v>
      </c>
      <c r="D470" t="s">
        <v>18</v>
      </c>
      <c r="F470" t="s">
        <v>91</v>
      </c>
      <c r="G470" t="s">
        <v>960</v>
      </c>
      <c r="I470" s="14" t="s">
        <v>1184</v>
      </c>
      <c r="J470" s="25" t="s">
        <v>1468</v>
      </c>
    </row>
    <row r="471" spans="1:13" x14ac:dyDescent="0.55000000000000004">
      <c r="A471" s="13" t="s">
        <v>1185</v>
      </c>
      <c r="B471" t="s">
        <v>23</v>
      </c>
      <c r="C471" t="s">
        <v>1183</v>
      </c>
      <c r="D471" t="s">
        <v>18</v>
      </c>
      <c r="F471" t="s">
        <v>91</v>
      </c>
      <c r="G471" t="s">
        <v>960</v>
      </c>
      <c r="I471" s="14" t="s">
        <v>1186</v>
      </c>
      <c r="J471" s="25" t="s">
        <v>1468</v>
      </c>
    </row>
    <row r="472" spans="1:13" x14ac:dyDescent="0.55000000000000004">
      <c r="A472" s="13" t="s">
        <v>1187</v>
      </c>
      <c r="B472" t="s">
        <v>16</v>
      </c>
      <c r="C472" t="s">
        <v>1183</v>
      </c>
      <c r="D472" t="s">
        <v>18</v>
      </c>
      <c r="F472" t="s">
        <v>33</v>
      </c>
      <c r="G472" t="s">
        <v>960</v>
      </c>
      <c r="I472" s="14" t="s">
        <v>1188</v>
      </c>
      <c r="J472" s="25" t="s">
        <v>1468</v>
      </c>
    </row>
    <row r="473" spans="1:13" x14ac:dyDescent="0.55000000000000004">
      <c r="A473" s="13" t="s">
        <v>1189</v>
      </c>
      <c r="B473" t="s">
        <v>23</v>
      </c>
      <c r="C473" t="s">
        <v>1183</v>
      </c>
      <c r="D473" t="s">
        <v>18</v>
      </c>
      <c r="F473" t="s">
        <v>33</v>
      </c>
      <c r="G473" t="s">
        <v>960</v>
      </c>
      <c r="I473" s="14" t="s">
        <v>1190</v>
      </c>
      <c r="J473" s="25" t="s">
        <v>1468</v>
      </c>
    </row>
    <row r="474" spans="1:13" x14ac:dyDescent="0.55000000000000004">
      <c r="A474" s="13" t="s">
        <v>1191</v>
      </c>
      <c r="B474" t="s">
        <v>90</v>
      </c>
      <c r="C474" t="s">
        <v>1183</v>
      </c>
      <c r="D474" t="s">
        <v>316</v>
      </c>
      <c r="F474" t="s">
        <v>317</v>
      </c>
      <c r="G474" t="s">
        <v>318</v>
      </c>
      <c r="I474" s="14" t="s">
        <v>1192</v>
      </c>
      <c r="J474" s="25" t="s">
        <v>1426</v>
      </c>
      <c r="L474" t="s">
        <v>538</v>
      </c>
      <c r="M474" t="s">
        <v>1193</v>
      </c>
    </row>
    <row r="475" spans="1:13" x14ac:dyDescent="0.55000000000000004">
      <c r="A475" s="13" t="s">
        <v>1194</v>
      </c>
      <c r="C475" t="s">
        <v>1194</v>
      </c>
      <c r="G475" t="s">
        <v>312</v>
      </c>
      <c r="I475" s="14" t="s">
        <v>1195</v>
      </c>
      <c r="J475" s="25" t="s">
        <v>312</v>
      </c>
    </row>
    <row r="476" spans="1:13" x14ac:dyDescent="0.55000000000000004">
      <c r="A476" s="13" t="s">
        <v>1196</v>
      </c>
      <c r="B476" t="s">
        <v>90</v>
      </c>
      <c r="C476" t="s">
        <v>1197</v>
      </c>
      <c r="D476" t="s">
        <v>316</v>
      </c>
      <c r="F476" t="s">
        <v>1198</v>
      </c>
      <c r="G476" t="s">
        <v>318</v>
      </c>
      <c r="I476" s="14" t="s">
        <v>1199</v>
      </c>
      <c r="J476" s="25" t="s">
        <v>1426</v>
      </c>
    </row>
    <row r="477" spans="1:13" x14ac:dyDescent="0.55000000000000004">
      <c r="A477" s="13" t="s">
        <v>1200</v>
      </c>
      <c r="B477" t="s">
        <v>16</v>
      </c>
      <c r="C477" t="s">
        <v>1201</v>
      </c>
      <c r="D477" t="s">
        <v>18</v>
      </c>
      <c r="F477" t="s">
        <v>27</v>
      </c>
      <c r="G477" t="s">
        <v>340</v>
      </c>
      <c r="I477" s="14" t="s">
        <v>1202</v>
      </c>
      <c r="J477" s="25" t="s">
        <v>1468</v>
      </c>
    </row>
    <row r="478" spans="1:13" x14ac:dyDescent="0.55000000000000004">
      <c r="A478" s="13" t="s">
        <v>1203</v>
      </c>
      <c r="B478" t="s">
        <v>23</v>
      </c>
      <c r="C478" t="s">
        <v>1201</v>
      </c>
      <c r="D478" t="s">
        <v>18</v>
      </c>
      <c r="F478" t="s">
        <v>27</v>
      </c>
      <c r="G478" t="s">
        <v>340</v>
      </c>
      <c r="I478" s="14" t="s">
        <v>1204</v>
      </c>
      <c r="J478" s="25" t="s">
        <v>1468</v>
      </c>
    </row>
    <row r="479" spans="1:13" x14ac:dyDescent="0.55000000000000004">
      <c r="A479" s="13" t="s">
        <v>1205</v>
      </c>
      <c r="B479" t="s">
        <v>16</v>
      </c>
      <c r="C479" t="s">
        <v>1206</v>
      </c>
      <c r="D479" t="s">
        <v>18</v>
      </c>
      <c r="F479" t="s">
        <v>169</v>
      </c>
      <c r="G479" t="s">
        <v>334</v>
      </c>
      <c r="I479" s="14" t="s">
        <v>1207</v>
      </c>
      <c r="J479" s="25" t="s">
        <v>1468</v>
      </c>
    </row>
    <row r="480" spans="1:13" x14ac:dyDescent="0.55000000000000004">
      <c r="A480" s="13" t="s">
        <v>1208</v>
      </c>
      <c r="B480" t="s">
        <v>23</v>
      </c>
      <c r="C480" t="s">
        <v>1206</v>
      </c>
      <c r="D480" t="s">
        <v>18</v>
      </c>
      <c r="F480" t="s">
        <v>169</v>
      </c>
      <c r="G480" t="s">
        <v>334</v>
      </c>
      <c r="I480" s="14" t="s">
        <v>1209</v>
      </c>
      <c r="J480" s="25" t="s">
        <v>1468</v>
      </c>
    </row>
    <row r="481" spans="1:17" x14ac:dyDescent="0.55000000000000004">
      <c r="A481" s="13" t="s">
        <v>1210</v>
      </c>
      <c r="B481" t="s">
        <v>16</v>
      </c>
      <c r="C481" t="s">
        <v>1206</v>
      </c>
      <c r="D481" t="s">
        <v>18</v>
      </c>
      <c r="F481" t="s">
        <v>27</v>
      </c>
      <c r="G481" t="s">
        <v>352</v>
      </c>
      <c r="I481" s="14" t="s">
        <v>1211</v>
      </c>
      <c r="J481" s="25" t="s">
        <v>1468</v>
      </c>
    </row>
    <row r="482" spans="1:17" x14ac:dyDescent="0.55000000000000004">
      <c r="A482" s="13" t="s">
        <v>1212</v>
      </c>
      <c r="B482" t="s">
        <v>23</v>
      </c>
      <c r="C482" t="s">
        <v>1206</v>
      </c>
      <c r="D482" t="s">
        <v>18</v>
      </c>
      <c r="F482" t="s">
        <v>27</v>
      </c>
      <c r="G482" t="s">
        <v>352</v>
      </c>
      <c r="I482" s="14" t="s">
        <v>1213</v>
      </c>
      <c r="J482" s="25" t="s">
        <v>1468</v>
      </c>
    </row>
    <row r="483" spans="1:17" x14ac:dyDescent="0.55000000000000004">
      <c r="A483" s="13" t="s">
        <v>1214</v>
      </c>
      <c r="B483" t="s">
        <v>16</v>
      </c>
      <c r="C483" t="s">
        <v>1206</v>
      </c>
      <c r="D483" t="s">
        <v>331</v>
      </c>
      <c r="F483" t="s">
        <v>27</v>
      </c>
      <c r="G483" t="s">
        <v>352</v>
      </c>
      <c r="I483" s="14" t="s">
        <v>1215</v>
      </c>
      <c r="J483" s="25" t="s">
        <v>1441</v>
      </c>
    </row>
    <row r="484" spans="1:17" x14ac:dyDescent="0.55000000000000004">
      <c r="A484" s="13" t="s">
        <v>1216</v>
      </c>
      <c r="B484" t="s">
        <v>16</v>
      </c>
      <c r="C484" t="s">
        <v>1217</v>
      </c>
      <c r="D484" t="s">
        <v>331</v>
      </c>
      <c r="F484" t="s">
        <v>91</v>
      </c>
      <c r="G484" t="s">
        <v>364</v>
      </c>
      <c r="I484" s="14" t="s">
        <v>1218</v>
      </c>
      <c r="J484" s="25" t="s">
        <v>1426</v>
      </c>
    </row>
    <row r="485" spans="1:17" x14ac:dyDescent="0.55000000000000004">
      <c r="A485" s="13" t="s">
        <v>1219</v>
      </c>
      <c r="C485" t="s">
        <v>1220</v>
      </c>
      <c r="F485" t="s">
        <v>532</v>
      </c>
      <c r="G485" t="s">
        <v>706</v>
      </c>
      <c r="I485" s="14" t="s">
        <v>1221</v>
      </c>
      <c r="J485" s="25" t="s">
        <v>536</v>
      </c>
      <c r="L485" t="s">
        <v>538</v>
      </c>
      <c r="M485" t="s">
        <v>323</v>
      </c>
    </row>
    <row r="486" spans="1:17" x14ac:dyDescent="0.55000000000000004">
      <c r="A486" s="13" t="s">
        <v>1222</v>
      </c>
      <c r="B486" t="s">
        <v>90</v>
      </c>
      <c r="C486" t="s">
        <v>1111</v>
      </c>
      <c r="D486" t="s">
        <v>316</v>
      </c>
      <c r="F486" t="s">
        <v>1112</v>
      </c>
      <c r="G486" t="s">
        <v>469</v>
      </c>
      <c r="I486" s="14" t="s">
        <v>1223</v>
      </c>
      <c r="J486" s="25" t="s">
        <v>1431</v>
      </c>
    </row>
    <row r="487" spans="1:17" x14ac:dyDescent="0.55000000000000004">
      <c r="A487" s="13" t="s">
        <v>1224</v>
      </c>
      <c r="B487" t="s">
        <v>90</v>
      </c>
      <c r="C487" t="s">
        <v>1115</v>
      </c>
      <c r="D487" t="s">
        <v>316</v>
      </c>
      <c r="F487" t="s">
        <v>1116</v>
      </c>
      <c r="G487" t="s">
        <v>469</v>
      </c>
      <c r="I487" s="14" t="s">
        <v>1225</v>
      </c>
      <c r="J487" s="25" t="s">
        <v>1431</v>
      </c>
    </row>
    <row r="488" spans="1:17" x14ac:dyDescent="0.55000000000000004">
      <c r="A488" s="13" t="s">
        <v>1226</v>
      </c>
      <c r="B488" t="s">
        <v>90</v>
      </c>
      <c r="C488" t="s">
        <v>1048</v>
      </c>
      <c r="D488" t="s">
        <v>316</v>
      </c>
      <c r="G488" t="s">
        <v>469</v>
      </c>
      <c r="I488" s="14" t="s">
        <v>1227</v>
      </c>
      <c r="J488" s="25" t="s">
        <v>1431</v>
      </c>
      <c r="L488" t="s">
        <v>538</v>
      </c>
      <c r="M488" t="s">
        <v>323</v>
      </c>
    </row>
    <row r="489" spans="1:17" x14ac:dyDescent="0.55000000000000004">
      <c r="A489" s="13" t="s">
        <v>1228</v>
      </c>
      <c r="B489" t="s">
        <v>90</v>
      </c>
      <c r="C489" t="s">
        <v>1121</v>
      </c>
      <c r="D489" t="s">
        <v>316</v>
      </c>
      <c r="F489" t="s">
        <v>1122</v>
      </c>
      <c r="G489" t="s">
        <v>469</v>
      </c>
      <c r="I489" s="14" t="s">
        <v>1229</v>
      </c>
      <c r="J489" s="25" t="s">
        <v>1431</v>
      </c>
    </row>
    <row r="490" spans="1:17" x14ac:dyDescent="0.55000000000000004">
      <c r="A490" s="13" t="s">
        <v>1230</v>
      </c>
      <c r="B490" t="s">
        <v>90</v>
      </c>
      <c r="C490" t="s">
        <v>1231</v>
      </c>
      <c r="D490" t="s">
        <v>316</v>
      </c>
      <c r="F490" t="s">
        <v>1232</v>
      </c>
      <c r="G490" t="s">
        <v>469</v>
      </c>
      <c r="I490" s="14" t="s">
        <v>1233</v>
      </c>
      <c r="J490" s="25" t="s">
        <v>1431</v>
      </c>
    </row>
    <row r="491" spans="1:17" x14ac:dyDescent="0.55000000000000004">
      <c r="A491" s="13" t="s">
        <v>1234</v>
      </c>
      <c r="C491" t="s">
        <v>906</v>
      </c>
      <c r="D491" t="s">
        <v>316</v>
      </c>
      <c r="E491">
        <v>1</v>
      </c>
      <c r="F491" t="s">
        <v>645</v>
      </c>
      <c r="G491" t="s">
        <v>700</v>
      </c>
      <c r="I491" s="14" t="s">
        <v>1235</v>
      </c>
      <c r="J491" s="25" t="s">
        <v>1484</v>
      </c>
      <c r="Q491" t="s">
        <v>1691</v>
      </c>
    </row>
    <row r="492" spans="1:17" x14ac:dyDescent="0.55000000000000004">
      <c r="A492" s="13" t="s">
        <v>1236</v>
      </c>
      <c r="C492" t="s">
        <v>910</v>
      </c>
      <c r="D492" t="s">
        <v>316</v>
      </c>
      <c r="E492">
        <v>1</v>
      </c>
      <c r="F492" t="s">
        <v>91</v>
      </c>
      <c r="G492" t="s">
        <v>700</v>
      </c>
      <c r="I492" s="14" t="s">
        <v>1237</v>
      </c>
      <c r="J492" s="25" t="s">
        <v>1484</v>
      </c>
    </row>
    <row r="493" spans="1:17" x14ac:dyDescent="0.55000000000000004">
      <c r="A493" s="13" t="s">
        <v>1238</v>
      </c>
      <c r="C493" t="s">
        <v>1239</v>
      </c>
      <c r="D493" t="s">
        <v>316</v>
      </c>
      <c r="E493">
        <v>1</v>
      </c>
      <c r="F493" t="s">
        <v>91</v>
      </c>
      <c r="G493" t="s">
        <v>700</v>
      </c>
      <c r="I493" s="14" t="s">
        <v>1240</v>
      </c>
      <c r="J493" s="25" t="s">
        <v>1484</v>
      </c>
    </row>
    <row r="494" spans="1:17" x14ac:dyDescent="0.55000000000000004">
      <c r="A494" s="13" t="s">
        <v>1241</v>
      </c>
      <c r="C494" t="s">
        <v>1242</v>
      </c>
      <c r="D494" t="s">
        <v>316</v>
      </c>
      <c r="E494">
        <v>1</v>
      </c>
      <c r="F494" t="s">
        <v>645</v>
      </c>
      <c r="G494" t="s">
        <v>700</v>
      </c>
      <c r="I494" s="14" t="s">
        <v>1243</v>
      </c>
      <c r="J494" s="25" t="s">
        <v>1484</v>
      </c>
    </row>
    <row r="495" spans="1:17" x14ac:dyDescent="0.55000000000000004">
      <c r="A495" s="13" t="s">
        <v>1244</v>
      </c>
      <c r="C495" t="s">
        <v>919</v>
      </c>
      <c r="D495" t="s">
        <v>316</v>
      </c>
      <c r="E495">
        <v>1</v>
      </c>
      <c r="F495" t="s">
        <v>91</v>
      </c>
      <c r="G495" t="s">
        <v>700</v>
      </c>
      <c r="I495" s="14" t="s">
        <v>1245</v>
      </c>
      <c r="J495" s="25" t="s">
        <v>1484</v>
      </c>
    </row>
    <row r="496" spans="1:17" x14ac:dyDescent="0.55000000000000004">
      <c r="A496" s="13" t="s">
        <v>1246</v>
      </c>
      <c r="C496" t="s">
        <v>1247</v>
      </c>
      <c r="D496" t="s">
        <v>316</v>
      </c>
      <c r="E496">
        <v>1</v>
      </c>
      <c r="F496" t="s">
        <v>91</v>
      </c>
      <c r="G496" t="s">
        <v>700</v>
      </c>
      <c r="I496" s="14" t="s">
        <v>1248</v>
      </c>
      <c r="J496" s="25" t="s">
        <v>1484</v>
      </c>
    </row>
    <row r="497" spans="1:13" x14ac:dyDescent="0.55000000000000004">
      <c r="A497" s="13" t="s">
        <v>1249</v>
      </c>
      <c r="C497" t="s">
        <v>1250</v>
      </c>
      <c r="D497" t="s">
        <v>316</v>
      </c>
      <c r="E497">
        <v>1</v>
      </c>
      <c r="F497" t="s">
        <v>645</v>
      </c>
      <c r="G497" t="s">
        <v>700</v>
      </c>
      <c r="I497" s="14" t="s">
        <v>1251</v>
      </c>
      <c r="J497" s="25" t="s">
        <v>1484</v>
      </c>
    </row>
    <row r="498" spans="1:13" x14ac:dyDescent="0.55000000000000004">
      <c r="A498" s="13" t="s">
        <v>1252</v>
      </c>
      <c r="C498" t="s">
        <v>925</v>
      </c>
      <c r="D498" t="s">
        <v>316</v>
      </c>
      <c r="E498">
        <v>1</v>
      </c>
      <c r="F498" t="s">
        <v>91</v>
      </c>
      <c r="G498" t="s">
        <v>700</v>
      </c>
      <c r="I498" s="14" t="s">
        <v>1253</v>
      </c>
      <c r="J498" s="25" t="s">
        <v>1484</v>
      </c>
    </row>
    <row r="499" spans="1:13" x14ac:dyDescent="0.55000000000000004">
      <c r="A499" s="13" t="s">
        <v>1254</v>
      </c>
      <c r="C499" t="s">
        <v>928</v>
      </c>
      <c r="D499" t="s">
        <v>316</v>
      </c>
      <c r="E499">
        <v>1</v>
      </c>
      <c r="F499" t="s">
        <v>91</v>
      </c>
      <c r="G499" t="s">
        <v>700</v>
      </c>
      <c r="I499" s="14" t="s">
        <v>1255</v>
      </c>
      <c r="J499" s="25" t="s">
        <v>1484</v>
      </c>
      <c r="M499" t="s">
        <v>1256</v>
      </c>
    </row>
    <row r="500" spans="1:13" x14ac:dyDescent="0.55000000000000004">
      <c r="A500" s="13" t="s">
        <v>1257</v>
      </c>
      <c r="B500" t="s">
        <v>16</v>
      </c>
      <c r="C500" t="s">
        <v>1258</v>
      </c>
      <c r="D500" t="s">
        <v>18</v>
      </c>
      <c r="F500" t="s">
        <v>91</v>
      </c>
      <c r="G500" t="s">
        <v>20</v>
      </c>
      <c r="I500" s="14" t="s">
        <v>1259</v>
      </c>
      <c r="J500" s="25" t="s">
        <v>1468</v>
      </c>
    </row>
    <row r="501" spans="1:13" x14ac:dyDescent="0.55000000000000004">
      <c r="A501" s="13" t="s">
        <v>1260</v>
      </c>
      <c r="B501" t="s">
        <v>23</v>
      </c>
      <c r="C501" t="s">
        <v>1258</v>
      </c>
      <c r="D501" t="s">
        <v>18</v>
      </c>
      <c r="F501" t="s">
        <v>91</v>
      </c>
      <c r="G501" t="s">
        <v>20</v>
      </c>
      <c r="I501" s="14" t="s">
        <v>1261</v>
      </c>
      <c r="J501" s="25" t="s">
        <v>1468</v>
      </c>
    </row>
    <row r="502" spans="1:13" x14ac:dyDescent="0.55000000000000004">
      <c r="A502" s="13" t="s">
        <v>1262</v>
      </c>
      <c r="B502" t="s">
        <v>16</v>
      </c>
      <c r="C502" t="s">
        <v>1263</v>
      </c>
      <c r="D502" t="s">
        <v>18</v>
      </c>
      <c r="F502" t="s">
        <v>325</v>
      </c>
      <c r="G502" t="s">
        <v>20</v>
      </c>
      <c r="I502" s="14" t="s">
        <v>1264</v>
      </c>
      <c r="J502" s="25" t="s">
        <v>1468</v>
      </c>
    </row>
    <row r="503" spans="1:13" x14ac:dyDescent="0.55000000000000004">
      <c r="A503" s="13" t="s">
        <v>1265</v>
      </c>
      <c r="B503" t="s">
        <v>23</v>
      </c>
      <c r="C503" t="s">
        <v>1263</v>
      </c>
      <c r="D503" t="s">
        <v>18</v>
      </c>
      <c r="F503" t="s">
        <v>325</v>
      </c>
      <c r="G503" t="s">
        <v>20</v>
      </c>
      <c r="I503" s="14" t="s">
        <v>1266</v>
      </c>
      <c r="J503" s="25" t="s">
        <v>1468</v>
      </c>
    </row>
    <row r="504" spans="1:13" x14ac:dyDescent="0.55000000000000004">
      <c r="A504" s="13" t="s">
        <v>1267</v>
      </c>
      <c r="B504" t="s">
        <v>16</v>
      </c>
      <c r="C504" t="s">
        <v>1268</v>
      </c>
      <c r="D504" t="s">
        <v>18</v>
      </c>
      <c r="F504" t="s">
        <v>91</v>
      </c>
      <c r="G504" t="s">
        <v>20</v>
      </c>
      <c r="I504" s="14" t="s">
        <v>1269</v>
      </c>
      <c r="J504" s="25" t="s">
        <v>1468</v>
      </c>
    </row>
    <row r="505" spans="1:13" x14ac:dyDescent="0.55000000000000004">
      <c r="A505" s="13" t="s">
        <v>1270</v>
      </c>
      <c r="B505" t="s">
        <v>23</v>
      </c>
      <c r="C505" t="s">
        <v>1268</v>
      </c>
      <c r="D505" t="s">
        <v>18</v>
      </c>
      <c r="F505" t="s">
        <v>91</v>
      </c>
      <c r="G505" t="s">
        <v>20</v>
      </c>
      <c r="I505" s="14" t="s">
        <v>1271</v>
      </c>
      <c r="J505" s="25" t="s">
        <v>1468</v>
      </c>
    </row>
    <row r="506" spans="1:13" x14ac:dyDescent="0.55000000000000004">
      <c r="A506" s="13" t="s">
        <v>1272</v>
      </c>
      <c r="B506" t="s">
        <v>16</v>
      </c>
      <c r="C506" t="s">
        <v>1273</v>
      </c>
      <c r="D506" t="s">
        <v>18</v>
      </c>
      <c r="F506" t="s">
        <v>91</v>
      </c>
      <c r="G506" t="s">
        <v>20</v>
      </c>
      <c r="I506" s="14" t="s">
        <v>1274</v>
      </c>
      <c r="J506" s="25" t="s">
        <v>1468</v>
      </c>
      <c r="K506" t="s">
        <v>962</v>
      </c>
      <c r="L506" t="s">
        <v>396</v>
      </c>
      <c r="M506" t="s">
        <v>323</v>
      </c>
    </row>
    <row r="507" spans="1:13" x14ac:dyDescent="0.55000000000000004">
      <c r="A507" s="13" t="s">
        <v>1275</v>
      </c>
      <c r="B507" t="s">
        <v>23</v>
      </c>
      <c r="C507" t="s">
        <v>1273</v>
      </c>
      <c r="D507" t="s">
        <v>18</v>
      </c>
      <c r="F507" t="s">
        <v>91</v>
      </c>
      <c r="G507" t="s">
        <v>20</v>
      </c>
      <c r="I507" s="14" t="s">
        <v>1276</v>
      </c>
      <c r="J507" s="25" t="s">
        <v>1468</v>
      </c>
      <c r="M507" t="s">
        <v>323</v>
      </c>
    </row>
    <row r="508" spans="1:13" x14ac:dyDescent="0.55000000000000004">
      <c r="A508" s="13" t="s">
        <v>1277</v>
      </c>
      <c r="B508" t="s">
        <v>16</v>
      </c>
      <c r="C508" t="s">
        <v>1278</v>
      </c>
      <c r="D508" t="s">
        <v>18</v>
      </c>
      <c r="F508" t="s">
        <v>325</v>
      </c>
      <c r="G508" t="s">
        <v>20</v>
      </c>
      <c r="I508" s="14" t="s">
        <v>1279</v>
      </c>
      <c r="J508" s="25" t="s">
        <v>1468</v>
      </c>
    </row>
    <row r="509" spans="1:13" x14ac:dyDescent="0.55000000000000004">
      <c r="A509" s="13" t="s">
        <v>1280</v>
      </c>
      <c r="B509" t="s">
        <v>23</v>
      </c>
      <c r="C509" t="s">
        <v>1278</v>
      </c>
      <c r="D509" t="s">
        <v>18</v>
      </c>
      <c r="F509" t="s">
        <v>325</v>
      </c>
      <c r="G509" t="s">
        <v>20</v>
      </c>
      <c r="I509" s="14" t="s">
        <v>1281</v>
      </c>
      <c r="J509" s="25" t="s">
        <v>1468</v>
      </c>
    </row>
    <row r="510" spans="1:13" x14ac:dyDescent="0.55000000000000004">
      <c r="A510" s="13" t="s">
        <v>1282</v>
      </c>
      <c r="B510" t="s">
        <v>16</v>
      </c>
      <c r="C510" t="s">
        <v>1283</v>
      </c>
      <c r="D510" t="s">
        <v>18</v>
      </c>
      <c r="F510" t="s">
        <v>325</v>
      </c>
      <c r="G510" t="s">
        <v>20</v>
      </c>
      <c r="I510" s="14" t="s">
        <v>1284</v>
      </c>
      <c r="J510" s="25" t="s">
        <v>1468</v>
      </c>
    </row>
    <row r="511" spans="1:13" x14ac:dyDescent="0.55000000000000004">
      <c r="A511" s="13" t="s">
        <v>1285</v>
      </c>
      <c r="B511" t="s">
        <v>23</v>
      </c>
      <c r="C511" t="s">
        <v>1283</v>
      </c>
      <c r="D511" t="s">
        <v>18</v>
      </c>
      <c r="F511" t="s">
        <v>325</v>
      </c>
      <c r="G511" t="s">
        <v>20</v>
      </c>
      <c r="I511" s="14" t="s">
        <v>1286</v>
      </c>
      <c r="J511" s="25" t="s">
        <v>1468</v>
      </c>
    </row>
    <row r="512" spans="1:13" x14ac:dyDescent="0.55000000000000004">
      <c r="A512" s="13" t="s">
        <v>1287</v>
      </c>
      <c r="B512" t="s">
        <v>16</v>
      </c>
      <c r="C512" t="s">
        <v>1288</v>
      </c>
      <c r="D512" t="s">
        <v>18</v>
      </c>
      <c r="F512" t="s">
        <v>325</v>
      </c>
      <c r="G512" t="s">
        <v>20</v>
      </c>
      <c r="I512" s="14" t="s">
        <v>1289</v>
      </c>
      <c r="J512" s="25" t="s">
        <v>1468</v>
      </c>
    </row>
    <row r="513" spans="1:10" x14ac:dyDescent="0.55000000000000004">
      <c r="A513" s="13" t="s">
        <v>1290</v>
      </c>
      <c r="B513" t="s">
        <v>23</v>
      </c>
      <c r="C513" t="s">
        <v>1288</v>
      </c>
      <c r="D513" t="s">
        <v>18</v>
      </c>
      <c r="F513" t="s">
        <v>325</v>
      </c>
      <c r="G513" t="s">
        <v>20</v>
      </c>
      <c r="I513" s="14" t="s">
        <v>1291</v>
      </c>
      <c r="J513" s="25" t="s">
        <v>1468</v>
      </c>
    </row>
    <row r="514" spans="1:10" x14ac:dyDescent="0.55000000000000004">
      <c r="A514" s="13" t="s">
        <v>1292</v>
      </c>
      <c r="B514" t="s">
        <v>16</v>
      </c>
      <c r="C514" t="s">
        <v>1293</v>
      </c>
      <c r="D514" t="s">
        <v>18</v>
      </c>
      <c r="F514" t="s">
        <v>1294</v>
      </c>
      <c r="G514" t="s">
        <v>20</v>
      </c>
      <c r="I514" s="14" t="s">
        <v>1295</v>
      </c>
      <c r="J514" s="25" t="s">
        <v>1468</v>
      </c>
    </row>
    <row r="515" spans="1:10" x14ac:dyDescent="0.55000000000000004">
      <c r="A515" s="13" t="s">
        <v>1296</v>
      </c>
      <c r="B515" t="s">
        <v>23</v>
      </c>
      <c r="C515" t="s">
        <v>1293</v>
      </c>
      <c r="D515" t="s">
        <v>18</v>
      </c>
      <c r="F515" t="s">
        <v>1294</v>
      </c>
      <c r="G515" t="s">
        <v>20</v>
      </c>
      <c r="I515" s="14" t="s">
        <v>1297</v>
      </c>
      <c r="J515" s="25" t="s">
        <v>1468</v>
      </c>
    </row>
    <row r="516" spans="1:10" x14ac:dyDescent="0.55000000000000004">
      <c r="A516" s="13" t="s">
        <v>1298</v>
      </c>
      <c r="B516" t="s">
        <v>16</v>
      </c>
      <c r="C516" t="s">
        <v>1299</v>
      </c>
      <c r="D516" t="s">
        <v>18</v>
      </c>
      <c r="F516" t="s">
        <v>1300</v>
      </c>
      <c r="G516" t="s">
        <v>20</v>
      </c>
      <c r="I516" s="14" t="s">
        <v>1301</v>
      </c>
      <c r="J516" s="25" t="s">
        <v>1468</v>
      </c>
    </row>
    <row r="517" spans="1:10" x14ac:dyDescent="0.55000000000000004">
      <c r="A517" s="13" t="s">
        <v>1302</v>
      </c>
      <c r="B517" t="s">
        <v>23</v>
      </c>
      <c r="C517" t="s">
        <v>1299</v>
      </c>
      <c r="D517" t="s">
        <v>18</v>
      </c>
      <c r="F517" t="s">
        <v>1300</v>
      </c>
      <c r="G517" t="s">
        <v>20</v>
      </c>
      <c r="I517" s="14" t="s">
        <v>1303</v>
      </c>
      <c r="J517" s="25" t="s">
        <v>1468</v>
      </c>
    </row>
    <row r="518" spans="1:10" x14ac:dyDescent="0.55000000000000004">
      <c r="A518" s="13" t="s">
        <v>1304</v>
      </c>
      <c r="B518" t="s">
        <v>16</v>
      </c>
      <c r="C518" t="s">
        <v>1305</v>
      </c>
      <c r="D518" t="s">
        <v>18</v>
      </c>
      <c r="F518" t="s">
        <v>27</v>
      </c>
      <c r="G518" t="s">
        <v>20</v>
      </c>
      <c r="I518" s="14" t="s">
        <v>1306</v>
      </c>
      <c r="J518" s="25" t="s">
        <v>1468</v>
      </c>
    </row>
    <row r="519" spans="1:10" x14ac:dyDescent="0.55000000000000004">
      <c r="A519" s="13" t="s">
        <v>1307</v>
      </c>
      <c r="B519" t="s">
        <v>23</v>
      </c>
      <c r="C519" t="s">
        <v>1305</v>
      </c>
      <c r="D519" t="s">
        <v>18</v>
      </c>
      <c r="F519" t="s">
        <v>27</v>
      </c>
      <c r="G519" t="s">
        <v>20</v>
      </c>
      <c r="I519" s="14" t="s">
        <v>1308</v>
      </c>
      <c r="J519" s="25" t="s">
        <v>1468</v>
      </c>
    </row>
    <row r="520" spans="1:10" x14ac:dyDescent="0.55000000000000004">
      <c r="A520" s="13" t="s">
        <v>1309</v>
      </c>
      <c r="B520" t="s">
        <v>16</v>
      </c>
      <c r="C520" t="s">
        <v>1310</v>
      </c>
      <c r="D520" t="s">
        <v>18</v>
      </c>
      <c r="F520" t="s">
        <v>325</v>
      </c>
      <c r="G520" t="s">
        <v>20</v>
      </c>
      <c r="I520" s="14" t="s">
        <v>1311</v>
      </c>
      <c r="J520" s="25" t="s">
        <v>1468</v>
      </c>
    </row>
    <row r="521" spans="1:10" x14ac:dyDescent="0.55000000000000004">
      <c r="A521" s="13" t="s">
        <v>1312</v>
      </c>
      <c r="B521" t="s">
        <v>23</v>
      </c>
      <c r="C521" t="s">
        <v>1310</v>
      </c>
      <c r="D521" t="s">
        <v>18</v>
      </c>
      <c r="F521" t="s">
        <v>325</v>
      </c>
      <c r="G521" t="s">
        <v>20</v>
      </c>
      <c r="I521" s="14" t="s">
        <v>1313</v>
      </c>
      <c r="J521" s="25" t="s">
        <v>1468</v>
      </c>
    </row>
    <row r="522" spans="1:10" x14ac:dyDescent="0.55000000000000004">
      <c r="A522" s="13" t="s">
        <v>1314</v>
      </c>
      <c r="B522" t="s">
        <v>16</v>
      </c>
      <c r="C522" t="s">
        <v>1315</v>
      </c>
      <c r="D522" t="s">
        <v>18</v>
      </c>
      <c r="F522" t="s">
        <v>27</v>
      </c>
      <c r="G522" t="s">
        <v>20</v>
      </c>
      <c r="I522" s="14" t="s">
        <v>1316</v>
      </c>
      <c r="J522" s="25" t="s">
        <v>1468</v>
      </c>
    </row>
    <row r="523" spans="1:10" x14ac:dyDescent="0.55000000000000004">
      <c r="A523" s="13" t="s">
        <v>1317</v>
      </c>
      <c r="B523" t="s">
        <v>23</v>
      </c>
      <c r="C523" t="s">
        <v>1315</v>
      </c>
      <c r="D523" t="s">
        <v>18</v>
      </c>
      <c r="F523" t="s">
        <v>27</v>
      </c>
      <c r="G523" t="s">
        <v>20</v>
      </c>
      <c r="I523" s="14" t="s">
        <v>1318</v>
      </c>
      <c r="J523" s="25" t="s">
        <v>1468</v>
      </c>
    </row>
    <row r="524" spans="1:10" x14ac:dyDescent="0.55000000000000004">
      <c r="A524" s="13" t="s">
        <v>1319</v>
      </c>
      <c r="B524" t="s">
        <v>16</v>
      </c>
      <c r="C524" t="s">
        <v>1320</v>
      </c>
      <c r="D524" t="s">
        <v>18</v>
      </c>
      <c r="F524" t="s">
        <v>91</v>
      </c>
      <c r="G524" t="s">
        <v>20</v>
      </c>
      <c r="I524" s="14" t="s">
        <v>1321</v>
      </c>
      <c r="J524" s="25" t="s">
        <v>1468</v>
      </c>
    </row>
    <row r="525" spans="1:10" x14ac:dyDescent="0.55000000000000004">
      <c r="A525" s="13" t="s">
        <v>1322</v>
      </c>
      <c r="B525" t="s">
        <v>23</v>
      </c>
      <c r="C525" t="s">
        <v>1320</v>
      </c>
      <c r="D525" t="s">
        <v>18</v>
      </c>
      <c r="F525" t="s">
        <v>91</v>
      </c>
      <c r="G525" t="s">
        <v>20</v>
      </c>
      <c r="I525" s="14" t="s">
        <v>1323</v>
      </c>
      <c r="J525" s="25" t="s">
        <v>1468</v>
      </c>
    </row>
    <row r="526" spans="1:10" x14ac:dyDescent="0.55000000000000004">
      <c r="A526" s="13" t="s">
        <v>1324</v>
      </c>
      <c r="B526" t="s">
        <v>16</v>
      </c>
      <c r="C526" t="s">
        <v>1006</v>
      </c>
      <c r="D526" t="s">
        <v>18</v>
      </c>
      <c r="F526" t="s">
        <v>1325</v>
      </c>
      <c r="G526" t="s">
        <v>20</v>
      </c>
      <c r="I526" s="14" t="s">
        <v>1326</v>
      </c>
      <c r="J526" s="25" t="s">
        <v>1468</v>
      </c>
    </row>
    <row r="527" spans="1:10" x14ac:dyDescent="0.55000000000000004">
      <c r="A527" s="13" t="s">
        <v>1327</v>
      </c>
      <c r="B527" t="s">
        <v>23</v>
      </c>
      <c r="C527" t="s">
        <v>1006</v>
      </c>
      <c r="D527" t="s">
        <v>18</v>
      </c>
      <c r="F527" t="s">
        <v>1325</v>
      </c>
      <c r="G527" t="s">
        <v>20</v>
      </c>
      <c r="I527" s="14" t="s">
        <v>1328</v>
      </c>
      <c r="J527" s="25" t="s">
        <v>1468</v>
      </c>
    </row>
    <row r="528" spans="1:10" x14ac:dyDescent="0.55000000000000004">
      <c r="A528" s="13" t="s">
        <v>1329</v>
      </c>
      <c r="B528" t="s">
        <v>16</v>
      </c>
      <c r="C528" t="s">
        <v>1330</v>
      </c>
      <c r="D528" t="s">
        <v>18</v>
      </c>
      <c r="F528" t="s">
        <v>27</v>
      </c>
      <c r="G528" t="s">
        <v>20</v>
      </c>
      <c r="I528" s="14" t="s">
        <v>1331</v>
      </c>
      <c r="J528" s="25" t="s">
        <v>1468</v>
      </c>
    </row>
    <row r="529" spans="1:10" x14ac:dyDescent="0.55000000000000004">
      <c r="A529" s="13" t="s">
        <v>1332</v>
      </c>
      <c r="B529" t="s">
        <v>23</v>
      </c>
      <c r="C529" t="s">
        <v>1330</v>
      </c>
      <c r="D529" t="s">
        <v>18</v>
      </c>
      <c r="F529" t="s">
        <v>27</v>
      </c>
      <c r="G529" t="s">
        <v>20</v>
      </c>
      <c r="I529" s="14" t="s">
        <v>1333</v>
      </c>
      <c r="J529" s="25" t="s">
        <v>1468</v>
      </c>
    </row>
    <row r="530" spans="1:10" x14ac:dyDescent="0.55000000000000004">
      <c r="A530" s="13" t="s">
        <v>1334</v>
      </c>
      <c r="B530" t="s">
        <v>16</v>
      </c>
      <c r="C530" t="s">
        <v>1335</v>
      </c>
      <c r="D530" t="s">
        <v>18</v>
      </c>
      <c r="F530" t="s">
        <v>1336</v>
      </c>
      <c r="G530" t="s">
        <v>20</v>
      </c>
      <c r="I530" s="14" t="s">
        <v>1337</v>
      </c>
      <c r="J530" s="25" t="s">
        <v>1468</v>
      </c>
    </row>
    <row r="531" spans="1:10" x14ac:dyDescent="0.55000000000000004">
      <c r="A531" s="13" t="s">
        <v>1338</v>
      </c>
      <c r="B531" t="s">
        <v>23</v>
      </c>
      <c r="C531" t="s">
        <v>1335</v>
      </c>
      <c r="D531" t="s">
        <v>18</v>
      </c>
      <c r="F531" t="s">
        <v>1336</v>
      </c>
      <c r="G531" t="s">
        <v>20</v>
      </c>
      <c r="I531" s="14" t="s">
        <v>1339</v>
      </c>
      <c r="J531" s="25" t="s">
        <v>1468</v>
      </c>
    </row>
    <row r="532" spans="1:10" x14ac:dyDescent="0.55000000000000004">
      <c r="A532" s="13" t="s">
        <v>1340</v>
      </c>
      <c r="B532" t="s">
        <v>16</v>
      </c>
      <c r="C532" t="s">
        <v>1341</v>
      </c>
      <c r="D532" t="s">
        <v>18</v>
      </c>
      <c r="F532" t="s">
        <v>91</v>
      </c>
      <c r="G532" t="s">
        <v>20</v>
      </c>
      <c r="I532" s="14" t="s">
        <v>1342</v>
      </c>
      <c r="J532" s="25" t="s">
        <v>1468</v>
      </c>
    </row>
    <row r="533" spans="1:10" x14ac:dyDescent="0.55000000000000004">
      <c r="A533" s="13" t="s">
        <v>1343</v>
      </c>
      <c r="B533" t="s">
        <v>23</v>
      </c>
      <c r="C533" t="s">
        <v>1341</v>
      </c>
      <c r="D533" t="s">
        <v>18</v>
      </c>
      <c r="F533" t="s">
        <v>91</v>
      </c>
      <c r="G533" t="s">
        <v>20</v>
      </c>
      <c r="I533" s="14" t="s">
        <v>1344</v>
      </c>
      <c r="J533" s="25" t="s">
        <v>1468</v>
      </c>
    </row>
    <row r="534" spans="1:10" x14ac:dyDescent="0.55000000000000004">
      <c r="A534" s="13" t="s">
        <v>1345</v>
      </c>
      <c r="B534" t="s">
        <v>16</v>
      </c>
      <c r="C534" t="s">
        <v>1346</v>
      </c>
      <c r="D534" t="s">
        <v>18</v>
      </c>
      <c r="F534" t="s">
        <v>325</v>
      </c>
      <c r="G534" t="s">
        <v>20</v>
      </c>
      <c r="I534" s="14" t="s">
        <v>1347</v>
      </c>
      <c r="J534" s="25" t="s">
        <v>1468</v>
      </c>
    </row>
    <row r="535" spans="1:10" x14ac:dyDescent="0.55000000000000004">
      <c r="A535" s="13" t="s">
        <v>1348</v>
      </c>
      <c r="B535" t="s">
        <v>23</v>
      </c>
      <c r="C535" t="s">
        <v>1346</v>
      </c>
      <c r="D535" t="s">
        <v>18</v>
      </c>
      <c r="F535" t="s">
        <v>325</v>
      </c>
      <c r="G535" t="s">
        <v>20</v>
      </c>
      <c r="I535" s="14" t="s">
        <v>1349</v>
      </c>
      <c r="J535" s="25" t="s">
        <v>1468</v>
      </c>
    </row>
    <row r="536" spans="1:10" x14ac:dyDescent="0.55000000000000004">
      <c r="A536" s="13" t="s">
        <v>1350</v>
      </c>
      <c r="B536" t="s">
        <v>16</v>
      </c>
      <c r="C536" t="s">
        <v>1351</v>
      </c>
      <c r="D536" t="s">
        <v>18</v>
      </c>
      <c r="F536" t="s">
        <v>325</v>
      </c>
      <c r="G536" t="s">
        <v>20</v>
      </c>
      <c r="I536" s="14" t="s">
        <v>1352</v>
      </c>
      <c r="J536" s="25" t="s">
        <v>1468</v>
      </c>
    </row>
    <row r="537" spans="1:10" x14ac:dyDescent="0.55000000000000004">
      <c r="A537" s="13" t="s">
        <v>1353</v>
      </c>
      <c r="B537" t="s">
        <v>23</v>
      </c>
      <c r="C537" t="s">
        <v>1351</v>
      </c>
      <c r="D537" t="s">
        <v>18</v>
      </c>
      <c r="F537" t="s">
        <v>325</v>
      </c>
      <c r="G537" t="s">
        <v>20</v>
      </c>
      <c r="I537" s="14" t="s">
        <v>1354</v>
      </c>
      <c r="J537" s="25" t="s">
        <v>1468</v>
      </c>
    </row>
    <row r="538" spans="1:10" x14ac:dyDescent="0.55000000000000004">
      <c r="A538" s="13" t="s">
        <v>1355</v>
      </c>
      <c r="B538" t="s">
        <v>16</v>
      </c>
      <c r="C538" t="s">
        <v>1356</v>
      </c>
      <c r="D538" t="s">
        <v>18</v>
      </c>
      <c r="F538" t="s">
        <v>91</v>
      </c>
      <c r="G538" t="s">
        <v>20</v>
      </c>
      <c r="I538" s="14" t="s">
        <v>1357</v>
      </c>
      <c r="J538" s="25" t="s">
        <v>1468</v>
      </c>
    </row>
    <row r="539" spans="1:10" x14ac:dyDescent="0.55000000000000004">
      <c r="A539" s="13" t="s">
        <v>1358</v>
      </c>
      <c r="B539" t="s">
        <v>23</v>
      </c>
      <c r="C539" t="s">
        <v>1356</v>
      </c>
      <c r="D539" t="s">
        <v>18</v>
      </c>
      <c r="F539" t="s">
        <v>91</v>
      </c>
      <c r="G539" t="s">
        <v>20</v>
      </c>
      <c r="I539" s="14" t="s">
        <v>1359</v>
      </c>
      <c r="J539" s="25" t="s">
        <v>1468</v>
      </c>
    </row>
    <row r="540" spans="1:10" x14ac:dyDescent="0.55000000000000004">
      <c r="A540" s="13" t="s">
        <v>1360</v>
      </c>
      <c r="B540" t="s">
        <v>16</v>
      </c>
      <c r="C540" t="s">
        <v>1361</v>
      </c>
      <c r="D540" t="s">
        <v>18</v>
      </c>
      <c r="G540" t="s">
        <v>20</v>
      </c>
      <c r="I540" s="14" t="s">
        <v>1362</v>
      </c>
      <c r="J540" s="25" t="s">
        <v>1468</v>
      </c>
    </row>
    <row r="541" spans="1:10" x14ac:dyDescent="0.55000000000000004">
      <c r="A541" s="13" t="s">
        <v>1363</v>
      </c>
      <c r="B541" t="s">
        <v>23</v>
      </c>
      <c r="C541" t="s">
        <v>1361</v>
      </c>
      <c r="D541" t="s">
        <v>18</v>
      </c>
      <c r="G541" t="s">
        <v>20</v>
      </c>
      <c r="I541" s="14" t="s">
        <v>1364</v>
      </c>
      <c r="J541" s="25" t="s">
        <v>1468</v>
      </c>
    </row>
    <row r="542" spans="1:10" x14ac:dyDescent="0.55000000000000004">
      <c r="A542" s="13" t="s">
        <v>1365</v>
      </c>
      <c r="B542" t="s">
        <v>16</v>
      </c>
      <c r="C542" t="s">
        <v>1366</v>
      </c>
      <c r="D542" t="s">
        <v>18</v>
      </c>
      <c r="F542" t="s">
        <v>325</v>
      </c>
      <c r="G542" t="s">
        <v>20</v>
      </c>
      <c r="I542" s="14" t="s">
        <v>1367</v>
      </c>
      <c r="J542" s="25" t="s">
        <v>1468</v>
      </c>
    </row>
    <row r="543" spans="1:10" x14ac:dyDescent="0.55000000000000004">
      <c r="A543" s="13" t="s">
        <v>1368</v>
      </c>
      <c r="B543" t="s">
        <v>23</v>
      </c>
      <c r="C543" t="s">
        <v>1366</v>
      </c>
      <c r="D543" t="s">
        <v>18</v>
      </c>
      <c r="F543" t="s">
        <v>325</v>
      </c>
      <c r="G543" t="s">
        <v>20</v>
      </c>
      <c r="I543" s="14" t="s">
        <v>1369</v>
      </c>
      <c r="J543" s="25" t="s">
        <v>1468</v>
      </c>
    </row>
    <row r="544" spans="1:10" x14ac:dyDescent="0.55000000000000004">
      <c r="A544" s="13" t="s">
        <v>1370</v>
      </c>
      <c r="B544" t="s">
        <v>90</v>
      </c>
      <c r="C544" t="s">
        <v>1371</v>
      </c>
      <c r="D544" t="s">
        <v>316</v>
      </c>
      <c r="F544" t="s">
        <v>317</v>
      </c>
      <c r="G544" t="s">
        <v>318</v>
      </c>
      <c r="I544" s="14" t="s">
        <v>1372</v>
      </c>
      <c r="J544" s="25" t="s">
        <v>1426</v>
      </c>
    </row>
    <row r="545" spans="1:16" x14ac:dyDescent="0.55000000000000004">
      <c r="A545" s="13" t="s">
        <v>1373</v>
      </c>
      <c r="B545" t="s">
        <v>16</v>
      </c>
      <c r="C545" t="s">
        <v>1371</v>
      </c>
      <c r="D545" t="s">
        <v>321</v>
      </c>
      <c r="F545" t="s">
        <v>317</v>
      </c>
      <c r="G545" t="s">
        <v>318</v>
      </c>
      <c r="I545" s="14" t="s">
        <v>1374</v>
      </c>
      <c r="J545" s="25" t="s">
        <v>1426</v>
      </c>
      <c r="N545" t="s">
        <v>323</v>
      </c>
    </row>
    <row r="546" spans="1:16" x14ac:dyDescent="0.55000000000000004">
      <c r="A546" s="13" t="s">
        <v>1375</v>
      </c>
      <c r="B546" t="s">
        <v>16</v>
      </c>
      <c r="C546" t="s">
        <v>1371</v>
      </c>
      <c r="D546" t="s">
        <v>18</v>
      </c>
      <c r="F546" t="s">
        <v>325</v>
      </c>
      <c r="G546" t="s">
        <v>326</v>
      </c>
      <c r="I546" s="14" t="s">
        <v>1376</v>
      </c>
      <c r="J546" s="25" t="s">
        <v>1468</v>
      </c>
    </row>
    <row r="547" spans="1:16" x14ac:dyDescent="0.55000000000000004">
      <c r="A547" s="13" t="s">
        <v>1377</v>
      </c>
      <c r="B547" t="s">
        <v>23</v>
      </c>
      <c r="C547" t="s">
        <v>1371</v>
      </c>
      <c r="D547" t="s">
        <v>18</v>
      </c>
      <c r="F547" t="s">
        <v>325</v>
      </c>
      <c r="G547" t="s">
        <v>326</v>
      </c>
      <c r="I547" s="14" t="s">
        <v>1378</v>
      </c>
      <c r="J547" s="25" t="s">
        <v>1468</v>
      </c>
    </row>
    <row r="548" spans="1:16" x14ac:dyDescent="0.55000000000000004">
      <c r="A548" s="13" t="s">
        <v>1379</v>
      </c>
      <c r="B548" t="s">
        <v>16</v>
      </c>
      <c r="C548" t="s">
        <v>1371</v>
      </c>
      <c r="D548" t="s">
        <v>331</v>
      </c>
      <c r="F548" t="s">
        <v>325</v>
      </c>
      <c r="G548" t="s">
        <v>326</v>
      </c>
      <c r="I548" s="14" t="s">
        <v>1380</v>
      </c>
      <c r="J548" s="25" t="s">
        <v>1441</v>
      </c>
    </row>
    <row r="549" spans="1:16" x14ac:dyDescent="0.55000000000000004">
      <c r="A549" s="13" t="s">
        <v>1381</v>
      </c>
      <c r="B549" t="s">
        <v>16</v>
      </c>
      <c r="C549" t="s">
        <v>1382</v>
      </c>
      <c r="D549" t="s">
        <v>18</v>
      </c>
      <c r="F549" t="s">
        <v>169</v>
      </c>
      <c r="G549" t="s">
        <v>334</v>
      </c>
      <c r="I549" s="14" t="s">
        <v>1383</v>
      </c>
      <c r="J549" s="25" t="s">
        <v>1468</v>
      </c>
    </row>
    <row r="550" spans="1:16" x14ac:dyDescent="0.55000000000000004">
      <c r="A550" s="13" t="s">
        <v>1384</v>
      </c>
      <c r="B550" t="s">
        <v>23</v>
      </c>
      <c r="C550" t="s">
        <v>1382</v>
      </c>
      <c r="D550" t="s">
        <v>18</v>
      </c>
      <c r="F550" t="s">
        <v>169</v>
      </c>
      <c r="G550" t="s">
        <v>334</v>
      </c>
      <c r="I550" s="14" t="s">
        <v>1385</v>
      </c>
      <c r="J550" s="25" t="s">
        <v>1468</v>
      </c>
    </row>
    <row r="551" spans="1:16" x14ac:dyDescent="0.55000000000000004">
      <c r="A551" s="13" t="s">
        <v>1386</v>
      </c>
      <c r="B551" t="s">
        <v>16</v>
      </c>
      <c r="C551" t="s">
        <v>1387</v>
      </c>
      <c r="D551" t="s">
        <v>18</v>
      </c>
      <c r="F551" t="s">
        <v>27</v>
      </c>
      <c r="G551" t="s">
        <v>340</v>
      </c>
      <c r="I551" s="14" t="s">
        <v>1388</v>
      </c>
      <c r="J551" s="25" t="s">
        <v>1468</v>
      </c>
    </row>
    <row r="552" spans="1:16" x14ac:dyDescent="0.55000000000000004">
      <c r="A552" s="13" t="s">
        <v>1389</v>
      </c>
      <c r="B552" t="s">
        <v>23</v>
      </c>
      <c r="C552" t="s">
        <v>1387</v>
      </c>
      <c r="D552" t="s">
        <v>18</v>
      </c>
      <c r="F552" t="s">
        <v>27</v>
      </c>
      <c r="G552" t="s">
        <v>340</v>
      </c>
      <c r="I552" s="14" t="s">
        <v>1390</v>
      </c>
      <c r="J552" s="25" t="s">
        <v>1468</v>
      </c>
    </row>
    <row r="553" spans="1:16" x14ac:dyDescent="0.55000000000000004">
      <c r="A553" s="13" t="s">
        <v>1391</v>
      </c>
      <c r="B553" t="s">
        <v>16</v>
      </c>
      <c r="C553" t="s">
        <v>1371</v>
      </c>
      <c r="D553" t="s">
        <v>331</v>
      </c>
      <c r="F553" t="s">
        <v>345</v>
      </c>
      <c r="G553" t="s">
        <v>318</v>
      </c>
      <c r="I553" s="14" t="s">
        <v>1392</v>
      </c>
      <c r="J553" s="25" t="s">
        <v>1426</v>
      </c>
    </row>
    <row r="554" spans="1:16" x14ac:dyDescent="0.55000000000000004">
      <c r="A554" s="13" t="s">
        <v>1393</v>
      </c>
      <c r="B554" t="s">
        <v>16</v>
      </c>
      <c r="C554" t="s">
        <v>1371</v>
      </c>
      <c r="D554" t="s">
        <v>331</v>
      </c>
      <c r="F554" t="s">
        <v>348</v>
      </c>
      <c r="G554" t="s">
        <v>318</v>
      </c>
      <c r="I554" s="14" t="s">
        <v>1394</v>
      </c>
      <c r="J554" s="25" t="s">
        <v>1426</v>
      </c>
    </row>
    <row r="555" spans="1:16" x14ac:dyDescent="0.55000000000000004">
      <c r="A555" s="13" t="s">
        <v>1395</v>
      </c>
      <c r="B555" t="s">
        <v>16</v>
      </c>
      <c r="C555" t="s">
        <v>1371</v>
      </c>
      <c r="D555" t="s">
        <v>18</v>
      </c>
      <c r="F555" t="s">
        <v>27</v>
      </c>
      <c r="G555" t="s">
        <v>352</v>
      </c>
      <c r="I555" s="14" t="s">
        <v>1396</v>
      </c>
      <c r="J555" s="25" t="s">
        <v>1468</v>
      </c>
      <c r="P555" t="s">
        <v>354</v>
      </c>
    </row>
    <row r="556" spans="1:16" x14ac:dyDescent="0.55000000000000004">
      <c r="A556" s="13" t="s">
        <v>1397</v>
      </c>
      <c r="B556" t="s">
        <v>23</v>
      </c>
      <c r="C556" t="s">
        <v>1371</v>
      </c>
      <c r="D556" t="s">
        <v>18</v>
      </c>
      <c r="F556" t="s">
        <v>27</v>
      </c>
      <c r="G556" t="s">
        <v>352</v>
      </c>
      <c r="I556" s="14" t="s">
        <v>1398</v>
      </c>
      <c r="J556" s="25" t="s">
        <v>1468</v>
      </c>
      <c r="P556" t="s">
        <v>354</v>
      </c>
    </row>
    <row r="557" spans="1:16" x14ac:dyDescent="0.55000000000000004">
      <c r="A557" s="13" t="s">
        <v>1399</v>
      </c>
      <c r="B557" t="s">
        <v>16</v>
      </c>
      <c r="C557" t="s">
        <v>1371</v>
      </c>
      <c r="D557" t="s">
        <v>331</v>
      </c>
      <c r="F557" t="s">
        <v>27</v>
      </c>
      <c r="G557" t="s">
        <v>352</v>
      </c>
      <c r="I557" s="14" t="s">
        <v>1400</v>
      </c>
      <c r="J557" s="25" t="s">
        <v>1441</v>
      </c>
      <c r="P557" t="s">
        <v>354</v>
      </c>
    </row>
    <row r="558" spans="1:16" x14ac:dyDescent="0.55000000000000004">
      <c r="A558" s="13" t="s">
        <v>1401</v>
      </c>
      <c r="B558" t="s">
        <v>16</v>
      </c>
      <c r="C558" t="s">
        <v>1402</v>
      </c>
      <c r="D558" t="s">
        <v>331</v>
      </c>
      <c r="F558" t="s">
        <v>1122</v>
      </c>
      <c r="G558" t="s">
        <v>469</v>
      </c>
      <c r="I558" s="14" t="s">
        <v>1403</v>
      </c>
      <c r="J558" s="25" t="s">
        <v>1431</v>
      </c>
      <c r="L558" t="s">
        <v>538</v>
      </c>
      <c r="M558" t="s">
        <v>1124</v>
      </c>
    </row>
    <row r="559" spans="1:16" x14ac:dyDescent="0.55000000000000004">
      <c r="A559" s="13" t="s">
        <v>1404</v>
      </c>
      <c r="B559" t="s">
        <v>90</v>
      </c>
      <c r="C559" t="s">
        <v>1402</v>
      </c>
      <c r="D559" t="s">
        <v>316</v>
      </c>
      <c r="F559" t="s">
        <v>1122</v>
      </c>
      <c r="G559" t="s">
        <v>469</v>
      </c>
      <c r="I559" s="14" t="s">
        <v>1403</v>
      </c>
      <c r="J559" s="25" t="s">
        <v>1431</v>
      </c>
    </row>
    <row r="560" spans="1:16" x14ac:dyDescent="0.55000000000000004">
      <c r="A560" s="13" t="s">
        <v>1405</v>
      </c>
      <c r="C560" t="s">
        <v>1406</v>
      </c>
      <c r="G560" t="s">
        <v>312</v>
      </c>
      <c r="H560" t="s">
        <v>1405</v>
      </c>
      <c r="I560" s="14" t="s">
        <v>312</v>
      </c>
      <c r="J560" s="25" t="s">
        <v>312</v>
      </c>
    </row>
    <row r="561" spans="1:12" x14ac:dyDescent="0.55000000000000004">
      <c r="A561" s="13" t="s">
        <v>1692</v>
      </c>
      <c r="C561" t="s">
        <v>1407</v>
      </c>
      <c r="G561" t="s">
        <v>1408</v>
      </c>
      <c r="H561" t="s">
        <v>1409</v>
      </c>
      <c r="I561" s="14" t="s">
        <v>1410</v>
      </c>
      <c r="J561" s="25" t="s">
        <v>1414</v>
      </c>
    </row>
    <row r="562" spans="1:12" x14ac:dyDescent="0.55000000000000004">
      <c r="A562" s="13" t="s">
        <v>1411</v>
      </c>
      <c r="C562" t="s">
        <v>1412</v>
      </c>
      <c r="F562" t="s">
        <v>1413</v>
      </c>
      <c r="G562" t="s">
        <v>1408</v>
      </c>
      <c r="H562" t="s">
        <v>1412</v>
      </c>
      <c r="I562" s="14" t="s">
        <v>1414</v>
      </c>
      <c r="J562" s="25" t="s">
        <v>1414</v>
      </c>
    </row>
    <row r="563" spans="1:12" x14ac:dyDescent="0.55000000000000004">
      <c r="A563" s="13" t="s">
        <v>1415</v>
      </c>
      <c r="C563" t="s">
        <v>1416</v>
      </c>
      <c r="F563" t="s">
        <v>1417</v>
      </c>
      <c r="G563" t="s">
        <v>1408</v>
      </c>
      <c r="H563" t="s">
        <v>1416</v>
      </c>
      <c r="I563" s="14" t="s">
        <v>1414</v>
      </c>
      <c r="J563" s="25" t="s">
        <v>1414</v>
      </c>
    </row>
    <row r="564" spans="1:12" x14ac:dyDescent="0.55000000000000004">
      <c r="A564" s="13" t="s">
        <v>1418</v>
      </c>
      <c r="C564" t="s">
        <v>1419</v>
      </c>
      <c r="F564" t="s">
        <v>1413</v>
      </c>
      <c r="G564" t="s">
        <v>1408</v>
      </c>
      <c r="H564" s="14" t="s">
        <v>1414</v>
      </c>
      <c r="I564" t="s">
        <v>1419</v>
      </c>
      <c r="J564" s="25" t="s">
        <v>1414</v>
      </c>
      <c r="L564" t="s">
        <v>560</v>
      </c>
    </row>
    <row r="565" spans="1:12" x14ac:dyDescent="0.55000000000000004">
      <c r="A565" s="13" t="s">
        <v>1420</v>
      </c>
      <c r="C565" t="s">
        <v>1421</v>
      </c>
      <c r="G565" t="s">
        <v>1422</v>
      </c>
      <c r="H565" s="14" t="s">
        <v>1414</v>
      </c>
      <c r="I565" t="s">
        <v>1423</v>
      </c>
      <c r="J565" s="25" t="s">
        <v>1414</v>
      </c>
      <c r="L565" t="s">
        <v>560</v>
      </c>
    </row>
    <row r="566" spans="1:12" x14ac:dyDescent="0.55000000000000004">
      <c r="A566" s="13" t="s">
        <v>1424</v>
      </c>
      <c r="B566" t="s">
        <v>16</v>
      </c>
      <c r="C566" t="s">
        <v>528</v>
      </c>
      <c r="D566" t="s">
        <v>321</v>
      </c>
      <c r="F566" t="s">
        <v>317</v>
      </c>
      <c r="G566" t="s">
        <v>318</v>
      </c>
      <c r="H566" t="s">
        <v>1425</v>
      </c>
      <c r="I566" s="14" t="s">
        <v>1426</v>
      </c>
      <c r="J566" s="25" t="s">
        <v>1426</v>
      </c>
    </row>
    <row r="567" spans="1:12" x14ac:dyDescent="0.55000000000000004">
      <c r="A567" s="13" t="s">
        <v>1427</v>
      </c>
      <c r="B567" t="s">
        <v>16</v>
      </c>
      <c r="C567" t="s">
        <v>1428</v>
      </c>
      <c r="D567" t="s">
        <v>321</v>
      </c>
      <c r="F567" t="s">
        <v>317</v>
      </c>
      <c r="G567" t="s">
        <v>318</v>
      </c>
      <c r="H567" t="s">
        <v>1429</v>
      </c>
      <c r="I567" s="14" t="s">
        <v>1426</v>
      </c>
      <c r="J567" s="25" t="s">
        <v>1426</v>
      </c>
    </row>
    <row r="568" spans="1:12" x14ac:dyDescent="0.55000000000000004">
      <c r="A568" s="13" t="s">
        <v>1430</v>
      </c>
      <c r="C568" t="s">
        <v>531</v>
      </c>
      <c r="D568" t="s">
        <v>316</v>
      </c>
      <c r="F568" t="s">
        <v>532</v>
      </c>
      <c r="G568" t="s">
        <v>469</v>
      </c>
      <c r="H568" t="s">
        <v>533</v>
      </c>
      <c r="I568" s="14" t="s">
        <v>1431</v>
      </c>
      <c r="J568" s="25" t="s">
        <v>1431</v>
      </c>
    </row>
    <row r="569" spans="1:12" x14ac:dyDescent="0.55000000000000004">
      <c r="A569" s="13" t="s">
        <v>1432</v>
      </c>
      <c r="B569" t="s">
        <v>1433</v>
      </c>
      <c r="C569" t="s">
        <v>648</v>
      </c>
      <c r="F569" t="s">
        <v>649</v>
      </c>
      <c r="G569" t="s">
        <v>650</v>
      </c>
      <c r="H569" t="s">
        <v>1435</v>
      </c>
      <c r="I569" t="s">
        <v>1434</v>
      </c>
      <c r="J569" s="25" t="s">
        <v>1435</v>
      </c>
      <c r="L569" t="s">
        <v>396</v>
      </c>
    </row>
    <row r="570" spans="1:12" x14ac:dyDescent="0.55000000000000004">
      <c r="A570" s="13" t="s">
        <v>1436</v>
      </c>
      <c r="B570" t="s">
        <v>1433</v>
      </c>
      <c r="C570" t="s">
        <v>648</v>
      </c>
      <c r="F570" t="s">
        <v>649</v>
      </c>
      <c r="G570" t="s">
        <v>650</v>
      </c>
      <c r="H570" t="s">
        <v>1437</v>
      </c>
      <c r="I570" s="14" t="s">
        <v>1435</v>
      </c>
      <c r="J570" s="25" t="s">
        <v>1435</v>
      </c>
    </row>
    <row r="571" spans="1:12" x14ac:dyDescent="0.55000000000000004">
      <c r="A571" s="13" t="s">
        <v>1438</v>
      </c>
      <c r="B571" t="s">
        <v>16</v>
      </c>
      <c r="C571" t="s">
        <v>565</v>
      </c>
      <c r="D571" t="s">
        <v>321</v>
      </c>
      <c r="F571" t="s">
        <v>1116</v>
      </c>
      <c r="G571" t="s">
        <v>318</v>
      </c>
      <c r="H571" t="s">
        <v>1439</v>
      </c>
      <c r="I571" s="14" t="s">
        <v>1426</v>
      </c>
      <c r="J571" s="25" t="s">
        <v>1426</v>
      </c>
    </row>
    <row r="572" spans="1:12" x14ac:dyDescent="0.55000000000000004">
      <c r="A572" s="13" t="s">
        <v>1440</v>
      </c>
      <c r="B572" t="s">
        <v>16</v>
      </c>
      <c r="C572" t="s">
        <v>555</v>
      </c>
      <c r="D572" t="s">
        <v>331</v>
      </c>
      <c r="G572" t="s">
        <v>326</v>
      </c>
      <c r="I572" s="14" t="str">
        <f>A572</f>
        <v>fep_cc_sb_or_25</v>
      </c>
      <c r="J572" s="14" t="s">
        <v>1441</v>
      </c>
    </row>
    <row r="573" spans="1:12" x14ac:dyDescent="0.55000000000000004">
      <c r="A573" s="13" t="s">
        <v>1442</v>
      </c>
      <c r="B573" t="s">
        <v>23</v>
      </c>
      <c r="C573" t="s">
        <v>555</v>
      </c>
      <c r="D573" t="s">
        <v>331</v>
      </c>
      <c r="G573" t="s">
        <v>326</v>
      </c>
      <c r="I573" s="14" t="str">
        <f t="shared" ref="I573:I579" si="0">A573</f>
        <v>fep_cc_sb_or_50</v>
      </c>
      <c r="J573" s="14" t="s">
        <v>1441</v>
      </c>
    </row>
    <row r="574" spans="1:12" x14ac:dyDescent="0.55000000000000004">
      <c r="A574" s="13" t="s">
        <v>1443</v>
      </c>
      <c r="B574" t="s">
        <v>16</v>
      </c>
      <c r="C574" t="s">
        <v>555</v>
      </c>
      <c r="D574" t="s">
        <v>331</v>
      </c>
      <c r="G574" t="s">
        <v>352</v>
      </c>
      <c r="I574" s="14" t="str">
        <f t="shared" si="0"/>
        <v>fep_xrf_sb_or_25</v>
      </c>
      <c r="J574" s="14" t="s">
        <v>1441</v>
      </c>
    </row>
    <row r="575" spans="1:12" x14ac:dyDescent="0.55000000000000004">
      <c r="A575" s="13" t="s">
        <v>1444</v>
      </c>
      <c r="B575" t="s">
        <v>23</v>
      </c>
      <c r="C575" t="s">
        <v>555</v>
      </c>
      <c r="D575" t="s">
        <v>331</v>
      </c>
      <c r="G575" t="s">
        <v>352</v>
      </c>
      <c r="I575" s="14" t="str">
        <f t="shared" si="0"/>
        <v>fep_xrf_sb_or_50</v>
      </c>
      <c r="J575" s="14" t="s">
        <v>1441</v>
      </c>
    </row>
    <row r="576" spans="1:12" x14ac:dyDescent="0.55000000000000004">
      <c r="A576" s="13" t="s">
        <v>1445</v>
      </c>
      <c r="B576" t="s">
        <v>16</v>
      </c>
      <c r="C576" t="s">
        <v>562</v>
      </c>
      <c r="D576" t="s">
        <v>331</v>
      </c>
      <c r="G576" t="s">
        <v>326</v>
      </c>
      <c r="I576" s="14" t="str">
        <f t="shared" si="0"/>
        <v>fes_cc_sb_or_25</v>
      </c>
      <c r="J576" s="14" t="s">
        <v>1441</v>
      </c>
    </row>
    <row r="577" spans="1:12" x14ac:dyDescent="0.55000000000000004">
      <c r="A577" s="13" t="s">
        <v>1446</v>
      </c>
      <c r="B577" t="s">
        <v>23</v>
      </c>
      <c r="C577" t="s">
        <v>562</v>
      </c>
      <c r="D577" t="s">
        <v>331</v>
      </c>
      <c r="G577" t="s">
        <v>326</v>
      </c>
      <c r="I577" s="14" t="str">
        <f t="shared" si="0"/>
        <v>fes_cc_sb_or_50</v>
      </c>
      <c r="J577" s="14" t="s">
        <v>1441</v>
      </c>
    </row>
    <row r="578" spans="1:12" x14ac:dyDescent="0.55000000000000004">
      <c r="A578" s="13" t="s">
        <v>1447</v>
      </c>
      <c r="B578" t="s">
        <v>16</v>
      </c>
      <c r="C578" t="s">
        <v>562</v>
      </c>
      <c r="D578" t="s">
        <v>331</v>
      </c>
      <c r="G578" t="s">
        <v>352</v>
      </c>
      <c r="I578" s="14" t="str">
        <f t="shared" si="0"/>
        <v>fes_xrf_sb_or_25</v>
      </c>
      <c r="J578" s="14" t="s">
        <v>1441</v>
      </c>
    </row>
    <row r="579" spans="1:12" x14ac:dyDescent="0.55000000000000004">
      <c r="A579" s="13" t="s">
        <v>1448</v>
      </c>
      <c r="B579" t="s">
        <v>23</v>
      </c>
      <c r="C579" t="s">
        <v>562</v>
      </c>
      <c r="D579" t="s">
        <v>331</v>
      </c>
      <c r="G579" t="s">
        <v>352</v>
      </c>
      <c r="I579" s="14" t="str">
        <f t="shared" si="0"/>
        <v>fes_xrf_sb_or_50</v>
      </c>
      <c r="J579" s="14" t="s">
        <v>1441</v>
      </c>
    </row>
    <row r="580" spans="1:12" x14ac:dyDescent="0.55000000000000004">
      <c r="A580" s="13" t="s">
        <v>1449</v>
      </c>
      <c r="C580" t="s">
        <v>1450</v>
      </c>
      <c r="F580" t="s">
        <v>532</v>
      </c>
      <c r="G580" t="s">
        <v>1408</v>
      </c>
      <c r="H580" t="s">
        <v>1450</v>
      </c>
      <c r="I580" s="14" t="s">
        <v>1414</v>
      </c>
      <c r="J580" s="25" t="s">
        <v>1414</v>
      </c>
    </row>
    <row r="581" spans="1:12" x14ac:dyDescent="0.55000000000000004">
      <c r="A581" s="13" t="s">
        <v>1451</v>
      </c>
      <c r="C581" t="s">
        <v>1452</v>
      </c>
      <c r="F581" t="s">
        <v>1413</v>
      </c>
      <c r="G581" t="s">
        <v>1408</v>
      </c>
      <c r="H581" t="s">
        <v>1452</v>
      </c>
      <c r="I581" s="14" t="s">
        <v>1414</v>
      </c>
      <c r="J581" s="25" t="s">
        <v>1414</v>
      </c>
    </row>
    <row r="582" spans="1:12" x14ac:dyDescent="0.55000000000000004">
      <c r="A582" s="13" t="s">
        <v>1453</v>
      </c>
      <c r="C582" t="s">
        <v>1454</v>
      </c>
      <c r="F582" t="s">
        <v>1413</v>
      </c>
      <c r="G582" t="s">
        <v>1408</v>
      </c>
      <c r="H582" s="14" t="s">
        <v>1414</v>
      </c>
      <c r="I582" t="s">
        <v>1454</v>
      </c>
      <c r="J582" s="25" t="s">
        <v>1414</v>
      </c>
      <c r="L582" t="s">
        <v>396</v>
      </c>
    </row>
    <row r="583" spans="1:12" x14ac:dyDescent="0.55000000000000004">
      <c r="A583" s="13" t="s">
        <v>1455</v>
      </c>
      <c r="C583" t="s">
        <v>1456</v>
      </c>
      <c r="G583" t="s">
        <v>1422</v>
      </c>
      <c r="H583" s="14" t="s">
        <v>1414</v>
      </c>
      <c r="I583" t="s">
        <v>1457</v>
      </c>
      <c r="J583" s="14" t="s">
        <v>1414</v>
      </c>
      <c r="L583" t="s">
        <v>396</v>
      </c>
    </row>
    <row r="584" spans="1:12" x14ac:dyDescent="0.55000000000000004">
      <c r="A584" s="13" t="s">
        <v>1458</v>
      </c>
      <c r="C584" t="s">
        <v>1459</v>
      </c>
      <c r="F584" t="s">
        <v>1460</v>
      </c>
      <c r="G584" t="s">
        <v>706</v>
      </c>
      <c r="H584" t="s">
        <v>1461</v>
      </c>
      <c r="I584" s="14" t="s">
        <v>536</v>
      </c>
      <c r="J584" s="25" t="s">
        <v>536</v>
      </c>
    </row>
    <row r="585" spans="1:12" x14ac:dyDescent="0.55000000000000004">
      <c r="A585" s="13" t="s">
        <v>1462</v>
      </c>
      <c r="B585" t="s">
        <v>16</v>
      </c>
      <c r="C585" t="s">
        <v>1463</v>
      </c>
      <c r="D585" t="s">
        <v>18</v>
      </c>
      <c r="G585" t="s">
        <v>352</v>
      </c>
      <c r="H585" t="s">
        <v>1464</v>
      </c>
      <c r="I585" s="14" t="s">
        <v>1441</v>
      </c>
      <c r="J585" s="25" t="s">
        <v>1441</v>
      </c>
    </row>
    <row r="586" spans="1:12" x14ac:dyDescent="0.55000000000000004">
      <c r="A586" s="13" t="s">
        <v>1465</v>
      </c>
      <c r="B586" t="s">
        <v>23</v>
      </c>
      <c r="C586" t="s">
        <v>1463</v>
      </c>
      <c r="D586" t="s">
        <v>18</v>
      </c>
      <c r="G586" t="s">
        <v>352</v>
      </c>
      <c r="H586" t="s">
        <v>1464</v>
      </c>
      <c r="I586" s="14" t="s">
        <v>1441</v>
      </c>
      <c r="J586" s="25" t="s">
        <v>1441</v>
      </c>
    </row>
    <row r="587" spans="1:12" x14ac:dyDescent="0.55000000000000004">
      <c r="A587" s="13" t="s">
        <v>1466</v>
      </c>
      <c r="B587" t="s">
        <v>16</v>
      </c>
      <c r="C587" t="s">
        <v>1463</v>
      </c>
      <c r="D587" t="s">
        <v>331</v>
      </c>
      <c r="G587" t="s">
        <v>352</v>
      </c>
      <c r="H587" t="s">
        <v>1464</v>
      </c>
      <c r="I587" s="14" t="s">
        <v>1441</v>
      </c>
      <c r="J587" s="25" t="s">
        <v>1441</v>
      </c>
    </row>
    <row r="588" spans="1:12" x14ac:dyDescent="0.55000000000000004">
      <c r="A588" s="13" t="s">
        <v>1467</v>
      </c>
      <c r="B588" t="s">
        <v>16</v>
      </c>
      <c r="C588" t="s">
        <v>861</v>
      </c>
      <c r="D588" t="s">
        <v>18</v>
      </c>
      <c r="F588" t="s">
        <v>27</v>
      </c>
      <c r="G588" t="s">
        <v>326</v>
      </c>
      <c r="H588" t="s">
        <v>862</v>
      </c>
      <c r="I588" s="14" t="s">
        <v>1468</v>
      </c>
      <c r="J588" s="25" t="s">
        <v>1468</v>
      </c>
    </row>
    <row r="589" spans="1:12" x14ac:dyDescent="0.55000000000000004">
      <c r="A589" s="13" t="s">
        <v>1469</v>
      </c>
      <c r="B589" t="s">
        <v>23</v>
      </c>
      <c r="C589" t="s">
        <v>861</v>
      </c>
      <c r="D589" t="s">
        <v>18</v>
      </c>
      <c r="F589" t="s">
        <v>27</v>
      </c>
      <c r="G589" t="s">
        <v>326</v>
      </c>
      <c r="H589" t="s">
        <v>864</v>
      </c>
      <c r="I589" s="14" t="s">
        <v>1468</v>
      </c>
      <c r="J589" s="25" t="s">
        <v>1468</v>
      </c>
    </row>
    <row r="590" spans="1:12" x14ac:dyDescent="0.55000000000000004">
      <c r="A590" s="13" t="s">
        <v>1470</v>
      </c>
      <c r="B590" t="s">
        <v>16</v>
      </c>
      <c r="C590" t="s">
        <v>861</v>
      </c>
      <c r="D590" t="s">
        <v>331</v>
      </c>
      <c r="F590" t="s">
        <v>27</v>
      </c>
      <c r="G590" t="s">
        <v>326</v>
      </c>
      <c r="H590" t="s">
        <v>866</v>
      </c>
      <c r="I590" s="14" t="s">
        <v>1441</v>
      </c>
      <c r="J590" s="25" t="s">
        <v>1441</v>
      </c>
    </row>
    <row r="591" spans="1:12" x14ac:dyDescent="0.55000000000000004">
      <c r="A591" s="13" t="s">
        <v>1471</v>
      </c>
      <c r="B591" t="s">
        <v>16</v>
      </c>
      <c r="C591" t="s">
        <v>868</v>
      </c>
      <c r="D591" t="s">
        <v>18</v>
      </c>
      <c r="F591" t="s">
        <v>27</v>
      </c>
      <c r="G591" t="s">
        <v>326</v>
      </c>
      <c r="H591" t="s">
        <v>869</v>
      </c>
      <c r="I591" s="14" t="s">
        <v>1468</v>
      </c>
      <c r="J591" s="25" t="s">
        <v>1468</v>
      </c>
    </row>
    <row r="592" spans="1:12" x14ac:dyDescent="0.55000000000000004">
      <c r="A592" s="13" t="s">
        <v>1472</v>
      </c>
      <c r="B592" t="s">
        <v>23</v>
      </c>
      <c r="C592" t="s">
        <v>868</v>
      </c>
      <c r="D592" t="s">
        <v>18</v>
      </c>
      <c r="F592" t="s">
        <v>27</v>
      </c>
      <c r="G592" t="s">
        <v>326</v>
      </c>
      <c r="H592" t="s">
        <v>871</v>
      </c>
      <c r="I592" s="14" t="s">
        <v>1468</v>
      </c>
      <c r="J592" s="25" t="s">
        <v>1468</v>
      </c>
    </row>
    <row r="593" spans="1:10" x14ac:dyDescent="0.55000000000000004">
      <c r="A593" s="13" t="s">
        <v>1473</v>
      </c>
      <c r="B593" t="s">
        <v>16</v>
      </c>
      <c r="C593" t="s">
        <v>868</v>
      </c>
      <c r="D593" t="s">
        <v>331</v>
      </c>
      <c r="F593" t="s">
        <v>27</v>
      </c>
      <c r="G593" t="s">
        <v>326</v>
      </c>
      <c r="H593" t="s">
        <v>873</v>
      </c>
      <c r="I593" s="14" t="s">
        <v>1441</v>
      </c>
      <c r="J593" s="25" t="s">
        <v>1441</v>
      </c>
    </row>
    <row r="594" spans="1:10" x14ac:dyDescent="0.55000000000000004">
      <c r="A594" s="13" t="s">
        <v>1474</v>
      </c>
      <c r="B594" t="s">
        <v>16</v>
      </c>
      <c r="C594" t="s">
        <v>875</v>
      </c>
      <c r="D594" t="s">
        <v>18</v>
      </c>
      <c r="F594" t="s">
        <v>27</v>
      </c>
      <c r="G594" t="s">
        <v>326</v>
      </c>
      <c r="H594" t="s">
        <v>876</v>
      </c>
      <c r="I594" s="14" t="s">
        <v>1468</v>
      </c>
      <c r="J594" s="25" t="s">
        <v>1468</v>
      </c>
    </row>
    <row r="595" spans="1:10" x14ac:dyDescent="0.55000000000000004">
      <c r="A595" s="13" t="s">
        <v>1475</v>
      </c>
      <c r="B595" t="s">
        <v>23</v>
      </c>
      <c r="C595" t="s">
        <v>875</v>
      </c>
      <c r="D595" t="s">
        <v>18</v>
      </c>
      <c r="F595" t="s">
        <v>27</v>
      </c>
      <c r="G595" t="s">
        <v>326</v>
      </c>
      <c r="H595" t="s">
        <v>878</v>
      </c>
      <c r="I595" s="14" t="s">
        <v>1468</v>
      </c>
      <c r="J595" s="25" t="s">
        <v>1468</v>
      </c>
    </row>
    <row r="596" spans="1:10" x14ac:dyDescent="0.55000000000000004">
      <c r="A596" s="13" t="s">
        <v>1476</v>
      </c>
      <c r="B596" t="s">
        <v>16</v>
      </c>
      <c r="C596" t="s">
        <v>875</v>
      </c>
      <c r="D596" t="s">
        <v>331</v>
      </c>
      <c r="F596" t="s">
        <v>27</v>
      </c>
      <c r="G596" t="s">
        <v>326</v>
      </c>
      <c r="H596" t="s">
        <v>880</v>
      </c>
      <c r="I596" s="14" t="s">
        <v>1441</v>
      </c>
      <c r="J596" s="25" t="s">
        <v>1441</v>
      </c>
    </row>
    <row r="597" spans="1:10" x14ac:dyDescent="0.55000000000000004">
      <c r="A597" s="13" t="s">
        <v>1477</v>
      </c>
      <c r="B597" t="s">
        <v>90</v>
      </c>
      <c r="C597" t="s">
        <v>1478</v>
      </c>
      <c r="D597" t="s">
        <v>316</v>
      </c>
      <c r="F597" t="s">
        <v>1116</v>
      </c>
      <c r="G597" t="s">
        <v>318</v>
      </c>
      <c r="H597" t="s">
        <v>1479</v>
      </c>
      <c r="I597" s="14" t="s">
        <v>1426</v>
      </c>
      <c r="J597" s="25" t="s">
        <v>1426</v>
      </c>
    </row>
    <row r="598" spans="1:10" x14ac:dyDescent="0.55000000000000004">
      <c r="A598" s="13" t="s">
        <v>1480</v>
      </c>
      <c r="C598" t="s">
        <v>1481</v>
      </c>
      <c r="F598" t="s">
        <v>532</v>
      </c>
      <c r="G598" t="s">
        <v>706</v>
      </c>
      <c r="H598" t="s">
        <v>1482</v>
      </c>
      <c r="I598" s="14" t="s">
        <v>536</v>
      </c>
      <c r="J598" s="25" t="s">
        <v>536</v>
      </c>
    </row>
    <row r="599" spans="1:10" x14ac:dyDescent="0.55000000000000004">
      <c r="A599" s="13" t="s">
        <v>1483</v>
      </c>
      <c r="C599" t="s">
        <v>910</v>
      </c>
      <c r="D599" t="s">
        <v>18</v>
      </c>
      <c r="E599" t="s">
        <v>907</v>
      </c>
      <c r="F599" t="s">
        <v>532</v>
      </c>
      <c r="G599" t="s">
        <v>700</v>
      </c>
      <c r="H599" t="s">
        <v>1483</v>
      </c>
      <c r="I599" s="14" t="s">
        <v>1484</v>
      </c>
      <c r="J599" s="25" t="s">
        <v>1484</v>
      </c>
    </row>
    <row r="600" spans="1:10" x14ac:dyDescent="0.55000000000000004">
      <c r="A600" s="13" t="s">
        <v>1485</v>
      </c>
      <c r="C600" t="s">
        <v>1486</v>
      </c>
      <c r="D600" t="s">
        <v>18</v>
      </c>
      <c r="E600" t="s">
        <v>907</v>
      </c>
      <c r="G600" t="s">
        <v>700</v>
      </c>
      <c r="H600" t="s">
        <v>1485</v>
      </c>
      <c r="I600" s="14" t="s">
        <v>1484</v>
      </c>
      <c r="J600" s="25" t="s">
        <v>1484</v>
      </c>
    </row>
    <row r="601" spans="1:10" x14ac:dyDescent="0.55000000000000004">
      <c r="A601" s="13" t="s">
        <v>1487</v>
      </c>
      <c r="C601" t="s">
        <v>1488</v>
      </c>
      <c r="D601" t="s">
        <v>18</v>
      </c>
      <c r="E601" t="s">
        <v>907</v>
      </c>
      <c r="G601" t="s">
        <v>700</v>
      </c>
      <c r="H601" t="s">
        <v>1487</v>
      </c>
      <c r="I601" s="14" t="s">
        <v>1484</v>
      </c>
      <c r="J601" s="25" t="s">
        <v>1484</v>
      </c>
    </row>
    <row r="602" spans="1:10" x14ac:dyDescent="0.55000000000000004">
      <c r="A602" s="13" t="s">
        <v>1489</v>
      </c>
      <c r="C602" t="s">
        <v>1490</v>
      </c>
      <c r="D602" t="s">
        <v>18</v>
      </c>
      <c r="E602" t="s">
        <v>907</v>
      </c>
      <c r="G602" t="s">
        <v>700</v>
      </c>
      <c r="H602" t="s">
        <v>1489</v>
      </c>
      <c r="I602" s="14" t="s">
        <v>1484</v>
      </c>
      <c r="J602" s="25" t="s">
        <v>1484</v>
      </c>
    </row>
    <row r="603" spans="1:10" x14ac:dyDescent="0.55000000000000004">
      <c r="A603" s="13" t="s">
        <v>1491</v>
      </c>
      <c r="C603" t="s">
        <v>1492</v>
      </c>
      <c r="D603" t="s">
        <v>18</v>
      </c>
      <c r="E603" t="s">
        <v>907</v>
      </c>
      <c r="G603" t="s">
        <v>700</v>
      </c>
      <c r="H603" t="s">
        <v>1491</v>
      </c>
      <c r="I603" s="14" t="s">
        <v>1484</v>
      </c>
      <c r="J603" s="25" t="s">
        <v>1484</v>
      </c>
    </row>
    <row r="604" spans="1:10" x14ac:dyDescent="0.55000000000000004">
      <c r="A604" s="13" t="s">
        <v>1493</v>
      </c>
      <c r="C604" t="s">
        <v>1494</v>
      </c>
      <c r="D604" t="s">
        <v>18</v>
      </c>
      <c r="E604" t="s">
        <v>907</v>
      </c>
      <c r="G604" t="s">
        <v>700</v>
      </c>
      <c r="H604" t="s">
        <v>1493</v>
      </c>
      <c r="I604" s="14" t="s">
        <v>1484</v>
      </c>
      <c r="J604" s="25" t="s">
        <v>1484</v>
      </c>
    </row>
    <row r="605" spans="1:10" x14ac:dyDescent="0.55000000000000004">
      <c r="A605" s="13" t="s">
        <v>1495</v>
      </c>
      <c r="C605" t="s">
        <v>1496</v>
      </c>
      <c r="D605" t="s">
        <v>18</v>
      </c>
      <c r="E605" t="s">
        <v>907</v>
      </c>
      <c r="G605" t="s">
        <v>700</v>
      </c>
      <c r="H605" t="s">
        <v>1495</v>
      </c>
      <c r="I605" s="14" t="s">
        <v>1484</v>
      </c>
      <c r="J605" s="25" t="s">
        <v>1484</v>
      </c>
    </row>
    <row r="606" spans="1:10" x14ac:dyDescent="0.55000000000000004">
      <c r="A606" s="13" t="s">
        <v>1497</v>
      </c>
      <c r="C606" t="s">
        <v>1498</v>
      </c>
      <c r="D606" t="s">
        <v>18</v>
      </c>
      <c r="E606" t="s">
        <v>907</v>
      </c>
      <c r="G606" t="s">
        <v>700</v>
      </c>
      <c r="H606" t="s">
        <v>1497</v>
      </c>
      <c r="I606" s="14" t="s">
        <v>1484</v>
      </c>
      <c r="J606" s="25" t="s">
        <v>1484</v>
      </c>
    </row>
    <row r="607" spans="1:10" x14ac:dyDescent="0.55000000000000004">
      <c r="A607" s="13" t="s">
        <v>1499</v>
      </c>
      <c r="C607" t="s">
        <v>1500</v>
      </c>
      <c r="D607" t="s">
        <v>18</v>
      </c>
      <c r="E607" t="s">
        <v>907</v>
      </c>
      <c r="G607" t="s">
        <v>700</v>
      </c>
      <c r="H607" t="s">
        <v>1499</v>
      </c>
      <c r="I607" s="14" t="s">
        <v>1484</v>
      </c>
      <c r="J607" s="25" t="s">
        <v>1484</v>
      </c>
    </row>
    <row r="608" spans="1:10" x14ac:dyDescent="0.55000000000000004">
      <c r="A608" s="13" t="s">
        <v>1501</v>
      </c>
      <c r="C608" t="s">
        <v>910</v>
      </c>
      <c r="D608" t="s">
        <v>18</v>
      </c>
      <c r="E608" t="s">
        <v>934</v>
      </c>
      <c r="F608" t="s">
        <v>532</v>
      </c>
      <c r="G608" t="s">
        <v>700</v>
      </c>
      <c r="H608" t="s">
        <v>1501</v>
      </c>
      <c r="I608" s="14" t="s">
        <v>1484</v>
      </c>
      <c r="J608" s="25" t="s">
        <v>1484</v>
      </c>
    </row>
    <row r="609" spans="1:10" x14ac:dyDescent="0.55000000000000004">
      <c r="A609" s="13" t="s">
        <v>1502</v>
      </c>
      <c r="C609" t="s">
        <v>1488</v>
      </c>
      <c r="D609" t="s">
        <v>18</v>
      </c>
      <c r="E609" t="s">
        <v>934</v>
      </c>
      <c r="G609" t="s">
        <v>700</v>
      </c>
      <c r="H609" t="s">
        <v>1502</v>
      </c>
      <c r="I609" s="14" t="s">
        <v>1484</v>
      </c>
      <c r="J609" s="25" t="s">
        <v>1484</v>
      </c>
    </row>
    <row r="610" spans="1:10" x14ac:dyDescent="0.55000000000000004">
      <c r="A610" s="13" t="s">
        <v>1503</v>
      </c>
      <c r="C610" t="s">
        <v>1490</v>
      </c>
      <c r="D610" t="s">
        <v>18</v>
      </c>
      <c r="E610" t="s">
        <v>934</v>
      </c>
      <c r="G610" t="s">
        <v>700</v>
      </c>
      <c r="H610" t="s">
        <v>1503</v>
      </c>
      <c r="I610" s="14" t="s">
        <v>1484</v>
      </c>
      <c r="J610" s="25" t="s">
        <v>1484</v>
      </c>
    </row>
    <row r="611" spans="1:10" x14ac:dyDescent="0.55000000000000004">
      <c r="A611" s="13" t="s">
        <v>1504</v>
      </c>
      <c r="C611" t="s">
        <v>1492</v>
      </c>
      <c r="D611" t="s">
        <v>18</v>
      </c>
      <c r="E611" t="s">
        <v>934</v>
      </c>
      <c r="G611" t="s">
        <v>700</v>
      </c>
      <c r="H611" t="s">
        <v>1504</v>
      </c>
      <c r="I611" s="14" t="s">
        <v>1484</v>
      </c>
      <c r="J611" s="25" t="s">
        <v>1484</v>
      </c>
    </row>
    <row r="612" spans="1:10" x14ac:dyDescent="0.55000000000000004">
      <c r="A612" s="13" t="s">
        <v>1505</v>
      </c>
      <c r="C612" t="s">
        <v>1496</v>
      </c>
      <c r="D612" t="s">
        <v>18</v>
      </c>
      <c r="E612" t="s">
        <v>934</v>
      </c>
      <c r="G612" t="s">
        <v>700</v>
      </c>
      <c r="H612" t="s">
        <v>1505</v>
      </c>
      <c r="I612" s="14" t="s">
        <v>1484</v>
      </c>
      <c r="J612" s="25" t="s">
        <v>1484</v>
      </c>
    </row>
    <row r="613" spans="1:10" x14ac:dyDescent="0.55000000000000004">
      <c r="A613" s="13" t="s">
        <v>1506</v>
      </c>
      <c r="C613" t="s">
        <v>1498</v>
      </c>
      <c r="D613" t="s">
        <v>18</v>
      </c>
      <c r="E613" t="s">
        <v>934</v>
      </c>
      <c r="G613" t="s">
        <v>700</v>
      </c>
      <c r="H613" t="s">
        <v>1506</v>
      </c>
      <c r="I613" s="14" t="s">
        <v>1484</v>
      </c>
      <c r="J613" s="25" t="s">
        <v>1484</v>
      </c>
    </row>
    <row r="614" spans="1:10" x14ac:dyDescent="0.55000000000000004">
      <c r="A614" s="13" t="s">
        <v>1507</v>
      </c>
      <c r="C614" t="s">
        <v>1500</v>
      </c>
      <c r="D614" t="s">
        <v>18</v>
      </c>
      <c r="E614" t="s">
        <v>934</v>
      </c>
      <c r="G614" t="s">
        <v>700</v>
      </c>
      <c r="H614" t="s">
        <v>1507</v>
      </c>
      <c r="I614" s="14" t="s">
        <v>1484</v>
      </c>
      <c r="J614" s="25" t="s">
        <v>1484</v>
      </c>
    </row>
    <row r="615" spans="1:10" x14ac:dyDescent="0.55000000000000004">
      <c r="A615" s="13" t="s">
        <v>1508</v>
      </c>
      <c r="B615" t="s">
        <v>16</v>
      </c>
      <c r="C615" t="s">
        <v>1062</v>
      </c>
      <c r="D615" t="s">
        <v>18</v>
      </c>
      <c r="F615" t="s">
        <v>1063</v>
      </c>
      <c r="G615" t="s">
        <v>326</v>
      </c>
      <c r="H615" t="s">
        <v>1064</v>
      </c>
      <c r="I615" s="14" t="s">
        <v>1468</v>
      </c>
      <c r="J615" s="25" t="s">
        <v>1468</v>
      </c>
    </row>
    <row r="616" spans="1:10" x14ac:dyDescent="0.55000000000000004">
      <c r="A616" s="13" t="s">
        <v>1509</v>
      </c>
      <c r="B616" t="s">
        <v>23</v>
      </c>
      <c r="C616" t="s">
        <v>1062</v>
      </c>
      <c r="D616" t="s">
        <v>18</v>
      </c>
      <c r="F616" t="s">
        <v>1063</v>
      </c>
      <c r="G616" t="s">
        <v>326</v>
      </c>
      <c r="H616" t="s">
        <v>1066</v>
      </c>
      <c r="I616" s="14" t="s">
        <v>1468</v>
      </c>
      <c r="J616" s="25" t="s">
        <v>1468</v>
      </c>
    </row>
    <row r="617" spans="1:10" x14ac:dyDescent="0.55000000000000004">
      <c r="A617" s="13" t="s">
        <v>1510</v>
      </c>
      <c r="B617" t="s">
        <v>16</v>
      </c>
      <c r="C617" t="s">
        <v>1062</v>
      </c>
      <c r="D617" t="s">
        <v>331</v>
      </c>
      <c r="F617" t="s">
        <v>1063</v>
      </c>
      <c r="G617" t="s">
        <v>326</v>
      </c>
      <c r="H617" t="s">
        <v>1068</v>
      </c>
      <c r="I617" s="14" t="s">
        <v>1441</v>
      </c>
      <c r="J617" s="25" t="s">
        <v>1441</v>
      </c>
    </row>
    <row r="618" spans="1:10" x14ac:dyDescent="0.55000000000000004">
      <c r="A618" s="13" t="s">
        <v>1511</v>
      </c>
      <c r="B618" t="s">
        <v>90</v>
      </c>
      <c r="C618" t="s">
        <v>971</v>
      </c>
      <c r="D618" t="s">
        <v>316</v>
      </c>
      <c r="F618" t="s">
        <v>1116</v>
      </c>
      <c r="G618" t="s">
        <v>318</v>
      </c>
      <c r="H618" t="s">
        <v>1512</v>
      </c>
      <c r="I618" s="14" t="s">
        <v>1426</v>
      </c>
      <c r="J618" s="25" t="s">
        <v>1426</v>
      </c>
    </row>
    <row r="619" spans="1:10" x14ac:dyDescent="0.55000000000000004">
      <c r="A619" s="13" t="s">
        <v>1513</v>
      </c>
      <c r="B619" t="s">
        <v>16</v>
      </c>
      <c r="C619" t="s">
        <v>971</v>
      </c>
      <c r="D619" t="s">
        <v>321</v>
      </c>
      <c r="F619" t="s">
        <v>1116</v>
      </c>
      <c r="G619" t="s">
        <v>318</v>
      </c>
      <c r="H619" t="s">
        <v>1514</v>
      </c>
      <c r="I619" s="14" t="s">
        <v>1426</v>
      </c>
      <c r="J619" s="25" t="s">
        <v>1426</v>
      </c>
    </row>
    <row r="620" spans="1:10" x14ac:dyDescent="0.55000000000000004">
      <c r="A620" s="13" t="s">
        <v>1515</v>
      </c>
      <c r="C620" t="s">
        <v>1515</v>
      </c>
      <c r="F620" t="s">
        <v>1516</v>
      </c>
      <c r="G620" t="s">
        <v>700</v>
      </c>
      <c r="H620" t="s">
        <v>1517</v>
      </c>
      <c r="I620" s="14" t="s">
        <v>1484</v>
      </c>
      <c r="J620" s="25" t="s">
        <v>1484</v>
      </c>
    </row>
    <row r="621" spans="1:10" x14ac:dyDescent="0.55000000000000004">
      <c r="A621" s="13" t="s">
        <v>1518</v>
      </c>
      <c r="B621" t="s">
        <v>16</v>
      </c>
      <c r="C621" t="s">
        <v>1075</v>
      </c>
      <c r="D621" t="s">
        <v>321</v>
      </c>
      <c r="F621" t="s">
        <v>1116</v>
      </c>
      <c r="G621" t="s">
        <v>318</v>
      </c>
      <c r="H621" t="s">
        <v>1519</v>
      </c>
      <c r="I621" s="14" t="s">
        <v>1426</v>
      </c>
      <c r="J621" s="25" t="s">
        <v>1426</v>
      </c>
    </row>
    <row r="622" spans="1:10" x14ac:dyDescent="0.55000000000000004">
      <c r="A622" s="13" t="s">
        <v>1520</v>
      </c>
      <c r="B622" t="s">
        <v>16</v>
      </c>
      <c r="C622" t="s">
        <v>1231</v>
      </c>
      <c r="D622" t="s">
        <v>331</v>
      </c>
      <c r="F622" t="s">
        <v>1232</v>
      </c>
      <c r="G622" t="s">
        <v>469</v>
      </c>
      <c r="H622" t="s">
        <v>1521</v>
      </c>
      <c r="I622" s="14" t="s">
        <v>1431</v>
      </c>
      <c r="J622" s="25" t="s">
        <v>1431</v>
      </c>
    </row>
    <row r="623" spans="1:10" x14ac:dyDescent="0.55000000000000004">
      <c r="A623" s="13" t="s">
        <v>1522</v>
      </c>
      <c r="C623" t="s">
        <v>1522</v>
      </c>
      <c r="F623" t="s">
        <v>532</v>
      </c>
      <c r="G623" t="s">
        <v>706</v>
      </c>
      <c r="H623" t="s">
        <v>1523</v>
      </c>
      <c r="I623" s="14" t="s">
        <v>536</v>
      </c>
      <c r="J623" s="25" t="s">
        <v>536</v>
      </c>
    </row>
    <row r="624" spans="1:10" x14ac:dyDescent="0.55000000000000004">
      <c r="A624" s="13" t="s">
        <v>1524</v>
      </c>
      <c r="C624" t="s">
        <v>1486</v>
      </c>
      <c r="E624">
        <v>3</v>
      </c>
      <c r="G624" t="s">
        <v>700</v>
      </c>
      <c r="H624" t="s">
        <v>1524</v>
      </c>
      <c r="I624" s="14" t="s">
        <v>1484</v>
      </c>
      <c r="J624" s="25" t="s">
        <v>1484</v>
      </c>
    </row>
    <row r="625" spans="1:10" x14ac:dyDescent="0.55000000000000004">
      <c r="A625" s="13" t="s">
        <v>1525</v>
      </c>
      <c r="C625" t="s">
        <v>1488</v>
      </c>
      <c r="E625">
        <v>3</v>
      </c>
      <c r="G625" t="s">
        <v>700</v>
      </c>
      <c r="H625" t="s">
        <v>1525</v>
      </c>
      <c r="I625" s="14" t="s">
        <v>1484</v>
      </c>
      <c r="J625" s="25" t="s">
        <v>1484</v>
      </c>
    </row>
    <row r="626" spans="1:10" x14ac:dyDescent="0.55000000000000004">
      <c r="A626" s="13" t="s">
        <v>1526</v>
      </c>
      <c r="C626" t="s">
        <v>1490</v>
      </c>
      <c r="E626">
        <v>3</v>
      </c>
      <c r="G626" t="s">
        <v>700</v>
      </c>
      <c r="H626" t="s">
        <v>1526</v>
      </c>
      <c r="I626" s="14" t="s">
        <v>1484</v>
      </c>
      <c r="J626" s="25" t="s">
        <v>1484</v>
      </c>
    </row>
    <row r="627" spans="1:10" x14ac:dyDescent="0.55000000000000004">
      <c r="A627" s="13" t="s">
        <v>1527</v>
      </c>
      <c r="C627" t="s">
        <v>1492</v>
      </c>
      <c r="E627">
        <v>3</v>
      </c>
      <c r="G627" t="s">
        <v>700</v>
      </c>
      <c r="H627" t="s">
        <v>1527</v>
      </c>
      <c r="I627" s="14" t="s">
        <v>1484</v>
      </c>
      <c r="J627" s="25" t="s">
        <v>1484</v>
      </c>
    </row>
    <row r="628" spans="1:10" x14ac:dyDescent="0.55000000000000004">
      <c r="A628" s="13" t="s">
        <v>1528</v>
      </c>
      <c r="C628" t="s">
        <v>1496</v>
      </c>
      <c r="E628">
        <v>3</v>
      </c>
      <c r="G628" t="s">
        <v>700</v>
      </c>
      <c r="H628" t="s">
        <v>1528</v>
      </c>
      <c r="I628" s="14" t="s">
        <v>1484</v>
      </c>
      <c r="J628" s="25" t="s">
        <v>1484</v>
      </c>
    </row>
    <row r="629" spans="1:10" x14ac:dyDescent="0.55000000000000004">
      <c r="A629" s="13" t="s">
        <v>1529</v>
      </c>
      <c r="C629" t="s">
        <v>1498</v>
      </c>
      <c r="E629">
        <v>3</v>
      </c>
      <c r="G629" t="s">
        <v>700</v>
      </c>
      <c r="H629" t="s">
        <v>1529</v>
      </c>
      <c r="I629" s="14" t="s">
        <v>1484</v>
      </c>
      <c r="J629" s="25" t="s">
        <v>1484</v>
      </c>
    </row>
    <row r="630" spans="1:10" x14ac:dyDescent="0.55000000000000004">
      <c r="A630" s="13" t="s">
        <v>1530</v>
      </c>
      <c r="C630" t="s">
        <v>1500</v>
      </c>
      <c r="E630">
        <v>3</v>
      </c>
      <c r="G630" t="s">
        <v>700</v>
      </c>
      <c r="H630" t="s">
        <v>1530</v>
      </c>
      <c r="I630" s="14" t="s">
        <v>1484</v>
      </c>
      <c r="J630" s="25" t="s">
        <v>1484</v>
      </c>
    </row>
    <row r="631" spans="1:10" x14ac:dyDescent="0.55000000000000004">
      <c r="A631" s="13" t="s">
        <v>1531</v>
      </c>
      <c r="C631" t="s">
        <v>1171</v>
      </c>
      <c r="D631" t="s">
        <v>18</v>
      </c>
      <c r="F631" t="s">
        <v>1532</v>
      </c>
      <c r="G631" t="s">
        <v>706</v>
      </c>
      <c r="H631" t="s">
        <v>1533</v>
      </c>
      <c r="I631" s="14" t="s">
        <v>536</v>
      </c>
      <c r="J631" s="25" t="s">
        <v>536</v>
      </c>
    </row>
    <row r="632" spans="1:10" x14ac:dyDescent="0.55000000000000004">
      <c r="A632" s="13" t="s">
        <v>1534</v>
      </c>
      <c r="C632" t="s">
        <v>1174</v>
      </c>
      <c r="D632" t="s">
        <v>331</v>
      </c>
      <c r="F632" t="s">
        <v>1532</v>
      </c>
      <c r="G632" t="s">
        <v>706</v>
      </c>
      <c r="H632" t="s">
        <v>1535</v>
      </c>
      <c r="I632" s="14" t="s">
        <v>536</v>
      </c>
      <c r="J632" s="25" t="s">
        <v>536</v>
      </c>
    </row>
    <row r="633" spans="1:10" x14ac:dyDescent="0.55000000000000004">
      <c r="A633" s="13" t="s">
        <v>1536</v>
      </c>
      <c r="C633" t="s">
        <v>1177</v>
      </c>
      <c r="D633" t="s">
        <v>316</v>
      </c>
      <c r="F633" t="s">
        <v>1532</v>
      </c>
      <c r="G633" t="s">
        <v>706</v>
      </c>
      <c r="H633" t="s">
        <v>1537</v>
      </c>
      <c r="I633" s="14" t="s">
        <v>536</v>
      </c>
      <c r="J633" s="25" t="s">
        <v>536</v>
      </c>
    </row>
    <row r="634" spans="1:10" x14ac:dyDescent="0.55000000000000004">
      <c r="A634" s="13" t="s">
        <v>1538</v>
      </c>
      <c r="C634" t="s">
        <v>1539</v>
      </c>
      <c r="G634" t="s">
        <v>312</v>
      </c>
      <c r="H634" t="s">
        <v>1539</v>
      </c>
      <c r="I634" s="14" t="s">
        <v>312</v>
      </c>
      <c r="J634" s="25" t="s">
        <v>312</v>
      </c>
    </row>
    <row r="635" spans="1:10" x14ac:dyDescent="0.55000000000000004">
      <c r="A635" s="13" t="s">
        <v>1540</v>
      </c>
      <c r="C635" t="s">
        <v>1540</v>
      </c>
      <c r="E635">
        <v>1</v>
      </c>
      <c r="G635" t="s">
        <v>700</v>
      </c>
      <c r="H635" t="s">
        <v>1540</v>
      </c>
      <c r="I635" s="14" t="s">
        <v>1484</v>
      </c>
      <c r="J635" s="25" t="s">
        <v>1555</v>
      </c>
    </row>
    <row r="636" spans="1:10" x14ac:dyDescent="0.55000000000000004">
      <c r="A636" s="13" t="s">
        <v>1541</v>
      </c>
      <c r="C636" t="s">
        <v>1541</v>
      </c>
      <c r="E636">
        <v>2</v>
      </c>
      <c r="G636" t="s">
        <v>700</v>
      </c>
      <c r="H636" t="s">
        <v>1541</v>
      </c>
      <c r="I636" s="14" t="s">
        <v>1484</v>
      </c>
      <c r="J636" s="25" t="s">
        <v>1555</v>
      </c>
    </row>
    <row r="637" spans="1:10" x14ac:dyDescent="0.55000000000000004">
      <c r="A637" s="13" t="s">
        <v>1542</v>
      </c>
      <c r="C637" t="s">
        <v>1542</v>
      </c>
      <c r="E637">
        <v>3</v>
      </c>
      <c r="G637" t="s">
        <v>700</v>
      </c>
      <c r="H637" t="s">
        <v>1542</v>
      </c>
      <c r="I637" s="14" t="s">
        <v>1484</v>
      </c>
      <c r="J637" s="25" t="s">
        <v>1555</v>
      </c>
    </row>
    <row r="638" spans="1:10" x14ac:dyDescent="0.55000000000000004">
      <c r="A638" s="13" t="s">
        <v>1543</v>
      </c>
      <c r="C638" t="s">
        <v>910</v>
      </c>
      <c r="E638">
        <v>1</v>
      </c>
      <c r="F638" t="s">
        <v>532</v>
      </c>
      <c r="G638" t="s">
        <v>700</v>
      </c>
      <c r="H638" t="s">
        <v>1543</v>
      </c>
      <c r="I638" s="14" t="s">
        <v>1484</v>
      </c>
      <c r="J638" s="25" t="s">
        <v>1484</v>
      </c>
    </row>
    <row r="639" spans="1:10" x14ac:dyDescent="0.55000000000000004">
      <c r="A639" s="13" t="s">
        <v>1544</v>
      </c>
      <c r="C639" t="s">
        <v>1486</v>
      </c>
      <c r="D639" t="s">
        <v>316</v>
      </c>
      <c r="E639">
        <v>1</v>
      </c>
      <c r="G639" t="s">
        <v>700</v>
      </c>
      <c r="H639" t="s">
        <v>1544</v>
      </c>
      <c r="I639" s="14" t="s">
        <v>1484</v>
      </c>
      <c r="J639" s="25" t="s">
        <v>1484</v>
      </c>
    </row>
    <row r="640" spans="1:10" x14ac:dyDescent="0.55000000000000004">
      <c r="A640" s="13" t="s">
        <v>1545</v>
      </c>
      <c r="C640" t="s">
        <v>1488</v>
      </c>
      <c r="D640" t="s">
        <v>316</v>
      </c>
      <c r="E640">
        <v>1</v>
      </c>
      <c r="G640" t="s">
        <v>700</v>
      </c>
      <c r="H640" t="s">
        <v>1545</v>
      </c>
      <c r="I640" s="14" t="s">
        <v>1484</v>
      </c>
      <c r="J640" s="25" t="s">
        <v>1484</v>
      </c>
    </row>
    <row r="641" spans="1:10" x14ac:dyDescent="0.55000000000000004">
      <c r="A641" s="13" t="s">
        <v>1546</v>
      </c>
      <c r="C641" t="s">
        <v>1490</v>
      </c>
      <c r="D641" t="s">
        <v>316</v>
      </c>
      <c r="E641">
        <v>1</v>
      </c>
      <c r="G641" t="s">
        <v>700</v>
      </c>
      <c r="H641" t="s">
        <v>1546</v>
      </c>
      <c r="I641" s="14" t="s">
        <v>1484</v>
      </c>
      <c r="J641" s="25" t="s">
        <v>1484</v>
      </c>
    </row>
    <row r="642" spans="1:10" x14ac:dyDescent="0.55000000000000004">
      <c r="A642" s="13" t="s">
        <v>1547</v>
      </c>
      <c r="C642" t="s">
        <v>1494</v>
      </c>
      <c r="D642" t="s">
        <v>316</v>
      </c>
      <c r="E642">
        <v>1</v>
      </c>
      <c r="G642" t="s">
        <v>700</v>
      </c>
      <c r="H642" t="s">
        <v>1547</v>
      </c>
      <c r="I642" s="14" t="s">
        <v>1484</v>
      </c>
      <c r="J642" s="25" t="s">
        <v>1484</v>
      </c>
    </row>
    <row r="643" spans="1:10" x14ac:dyDescent="0.55000000000000004">
      <c r="A643" s="13" t="s">
        <v>1548</v>
      </c>
      <c r="C643" t="s">
        <v>1496</v>
      </c>
      <c r="D643" t="s">
        <v>316</v>
      </c>
      <c r="E643">
        <v>1</v>
      </c>
      <c r="G643" t="s">
        <v>700</v>
      </c>
      <c r="H643" t="s">
        <v>1548</v>
      </c>
      <c r="I643" s="14" t="s">
        <v>1484</v>
      </c>
      <c r="J643" s="25" t="s">
        <v>1484</v>
      </c>
    </row>
    <row r="644" spans="1:10" x14ac:dyDescent="0.55000000000000004">
      <c r="A644" s="13" t="s">
        <v>1549</v>
      </c>
      <c r="C644" t="s">
        <v>1498</v>
      </c>
      <c r="D644" t="s">
        <v>316</v>
      </c>
      <c r="E644">
        <v>1</v>
      </c>
      <c r="G644" t="s">
        <v>700</v>
      </c>
      <c r="H644" t="s">
        <v>1549</v>
      </c>
      <c r="I644" s="14" t="s">
        <v>1484</v>
      </c>
      <c r="J644" s="25" t="s">
        <v>1484</v>
      </c>
    </row>
    <row r="645" spans="1:10" x14ac:dyDescent="0.55000000000000004">
      <c r="A645" s="13" t="s">
        <v>1550</v>
      </c>
      <c r="C645" t="s">
        <v>1500</v>
      </c>
      <c r="D645" t="s">
        <v>316</v>
      </c>
      <c r="E645">
        <v>1</v>
      </c>
      <c r="G645" t="s">
        <v>700</v>
      </c>
      <c r="H645" t="s">
        <v>1550</v>
      </c>
      <c r="I645" s="14" t="s">
        <v>1484</v>
      </c>
      <c r="J645" s="25" t="s">
        <v>1484</v>
      </c>
    </row>
    <row r="646" spans="1:10" x14ac:dyDescent="0.55000000000000004">
      <c r="A646" s="13" t="s">
        <v>1551</v>
      </c>
      <c r="C646" t="s">
        <v>1551</v>
      </c>
      <c r="D646" t="s">
        <v>316</v>
      </c>
      <c r="G646" t="s">
        <v>394</v>
      </c>
      <c r="H646" t="s">
        <v>1551</v>
      </c>
      <c r="I646" s="14" t="s">
        <v>536</v>
      </c>
      <c r="J646" s="25" t="s">
        <v>536</v>
      </c>
    </row>
    <row r="647" spans="1:10" x14ac:dyDescent="0.55000000000000004">
      <c r="A647" s="13" t="s">
        <v>1552</v>
      </c>
      <c r="C647" t="s">
        <v>1553</v>
      </c>
      <c r="D647" t="s">
        <v>316</v>
      </c>
      <c r="E647">
        <v>1</v>
      </c>
      <c r="G647" t="s">
        <v>1554</v>
      </c>
      <c r="H647" t="s">
        <v>1552</v>
      </c>
      <c r="I647" s="14" t="s">
        <v>1555</v>
      </c>
      <c r="J647" s="25" t="s">
        <v>1555</v>
      </c>
    </row>
    <row r="648" spans="1:10" x14ac:dyDescent="0.55000000000000004">
      <c r="A648" s="13" t="s">
        <v>1556</v>
      </c>
      <c r="C648" t="s">
        <v>1557</v>
      </c>
      <c r="D648" t="s">
        <v>18</v>
      </c>
      <c r="E648">
        <v>2</v>
      </c>
      <c r="G648" t="s">
        <v>1554</v>
      </c>
      <c r="H648" t="s">
        <v>1556</v>
      </c>
      <c r="I648" s="14" t="s">
        <v>1555</v>
      </c>
      <c r="J648" s="25" t="s">
        <v>1555</v>
      </c>
    </row>
    <row r="649" spans="1:10" x14ac:dyDescent="0.55000000000000004">
      <c r="A649" s="13" t="s">
        <v>1558</v>
      </c>
      <c r="C649" t="s">
        <v>1559</v>
      </c>
      <c r="D649" t="s">
        <v>18</v>
      </c>
      <c r="E649" t="s">
        <v>907</v>
      </c>
      <c r="G649" t="s">
        <v>1554</v>
      </c>
      <c r="H649" t="s">
        <v>1558</v>
      </c>
      <c r="I649" s="14" t="s">
        <v>1555</v>
      </c>
      <c r="J649" s="25" t="s">
        <v>1555</v>
      </c>
    </row>
    <row r="650" spans="1:10" x14ac:dyDescent="0.55000000000000004">
      <c r="A650" s="13" t="s">
        <v>1560</v>
      </c>
      <c r="C650" t="s">
        <v>1561</v>
      </c>
      <c r="D650" t="s">
        <v>18</v>
      </c>
      <c r="E650" t="s">
        <v>934</v>
      </c>
      <c r="G650" t="s">
        <v>1554</v>
      </c>
      <c r="H650" t="s">
        <v>1560</v>
      </c>
      <c r="I650" s="14" t="s">
        <v>1555</v>
      </c>
      <c r="J650" s="25" t="s">
        <v>1555</v>
      </c>
    </row>
    <row r="651" spans="1:10" x14ac:dyDescent="0.55000000000000004">
      <c r="A651" s="13" t="s">
        <v>1562</v>
      </c>
      <c r="B651" t="s">
        <v>16</v>
      </c>
      <c r="C651" t="s">
        <v>644</v>
      </c>
      <c r="D651" t="s">
        <v>331</v>
      </c>
      <c r="F651" t="s">
        <v>645</v>
      </c>
      <c r="G651" t="s">
        <v>469</v>
      </c>
      <c r="H651" t="s">
        <v>646</v>
      </c>
      <c r="I651" s="14" t="s">
        <v>1431</v>
      </c>
      <c r="J651" s="25" t="s">
        <v>1431</v>
      </c>
    </row>
    <row r="652" spans="1:10" x14ac:dyDescent="0.55000000000000004">
      <c r="A652" s="13" t="s">
        <v>1563</v>
      </c>
      <c r="B652" t="s">
        <v>16</v>
      </c>
      <c r="C652" t="s">
        <v>644</v>
      </c>
      <c r="D652" t="s">
        <v>331</v>
      </c>
      <c r="F652" t="s">
        <v>645</v>
      </c>
      <c r="G652" t="s">
        <v>469</v>
      </c>
      <c r="H652" t="s">
        <v>646</v>
      </c>
      <c r="I652" s="14" t="s">
        <v>1431</v>
      </c>
      <c r="J652" s="25" t="s">
        <v>1431</v>
      </c>
    </row>
    <row r="653" spans="1:10" x14ac:dyDescent="0.55000000000000004">
      <c r="A653" s="13" t="s">
        <v>1564</v>
      </c>
      <c r="B653" t="s">
        <v>16</v>
      </c>
      <c r="C653" t="s">
        <v>644</v>
      </c>
      <c r="D653" t="s">
        <v>331</v>
      </c>
      <c r="F653" t="s">
        <v>645</v>
      </c>
      <c r="G653" t="s">
        <v>469</v>
      </c>
      <c r="H653" t="s">
        <v>646</v>
      </c>
      <c r="I653" s="14" t="s">
        <v>1431</v>
      </c>
      <c r="J653" s="25" t="s">
        <v>1431</v>
      </c>
    </row>
    <row r="654" spans="1:10" x14ac:dyDescent="0.55000000000000004">
      <c r="A654" s="13" t="s">
        <v>1565</v>
      </c>
      <c r="B654" t="s">
        <v>16</v>
      </c>
      <c r="C654" t="s">
        <v>644</v>
      </c>
      <c r="D654" t="s">
        <v>331</v>
      </c>
      <c r="F654" t="s">
        <v>645</v>
      </c>
      <c r="G654" t="s">
        <v>469</v>
      </c>
      <c r="H654" t="s">
        <v>646</v>
      </c>
      <c r="I654" s="14" t="s">
        <v>1431</v>
      </c>
      <c r="J654" s="25" t="s">
        <v>1431</v>
      </c>
    </row>
    <row r="655" spans="1:10" x14ac:dyDescent="0.55000000000000004">
      <c r="A655" s="13" t="s">
        <v>1566</v>
      </c>
      <c r="B655" t="s">
        <v>16</v>
      </c>
      <c r="C655" t="s">
        <v>644</v>
      </c>
      <c r="D655" t="s">
        <v>331</v>
      </c>
      <c r="F655" t="s">
        <v>645</v>
      </c>
      <c r="G655" t="s">
        <v>469</v>
      </c>
      <c r="H655" t="s">
        <v>646</v>
      </c>
      <c r="I655" s="14" t="s">
        <v>1431</v>
      </c>
      <c r="J655" s="25" t="s">
        <v>1431</v>
      </c>
    </row>
    <row r="656" spans="1:10" x14ac:dyDescent="0.55000000000000004">
      <c r="A656" s="13" t="s">
        <v>1567</v>
      </c>
      <c r="G656" t="s">
        <v>469</v>
      </c>
      <c r="I656" s="14" t="s">
        <v>1431</v>
      </c>
      <c r="J656" s="25" t="s">
        <v>1431</v>
      </c>
    </row>
    <row r="657" spans="1:13" x14ac:dyDescent="0.55000000000000004">
      <c r="A657" s="13" t="s">
        <v>1568</v>
      </c>
      <c r="G657" t="s">
        <v>469</v>
      </c>
      <c r="I657" s="14" t="s">
        <v>1431</v>
      </c>
      <c r="J657" s="25" t="s">
        <v>1431</v>
      </c>
    </row>
    <row r="658" spans="1:13" x14ac:dyDescent="0.55000000000000004">
      <c r="A658" s="13" t="s">
        <v>1569</v>
      </c>
      <c r="G658" t="s">
        <v>469</v>
      </c>
      <c r="I658" s="14" t="s">
        <v>1431</v>
      </c>
      <c r="J658" s="25" t="s">
        <v>1431</v>
      </c>
      <c r="K658" t="s">
        <v>962</v>
      </c>
    </row>
    <row r="659" spans="1:13" x14ac:dyDescent="0.55000000000000004">
      <c r="A659" s="13" t="s">
        <v>1570</v>
      </c>
      <c r="G659" t="s">
        <v>469</v>
      </c>
      <c r="I659" s="14" t="s">
        <v>1431</v>
      </c>
      <c r="J659" s="25" t="s">
        <v>1431</v>
      </c>
    </row>
    <row r="660" spans="1:13" x14ac:dyDescent="0.55000000000000004">
      <c r="A660" s="13" t="s">
        <v>1571</v>
      </c>
      <c r="G660" t="s">
        <v>469</v>
      </c>
      <c r="I660" s="14" t="s">
        <v>1431</v>
      </c>
      <c r="J660" s="25" t="s">
        <v>1431</v>
      </c>
    </row>
    <row r="661" spans="1:13" x14ac:dyDescent="0.55000000000000004">
      <c r="A661" s="13" t="s">
        <v>1572</v>
      </c>
      <c r="G661" t="s">
        <v>469</v>
      </c>
      <c r="I661" s="14" t="s">
        <v>1431</v>
      </c>
      <c r="J661" s="25" t="s">
        <v>1431</v>
      </c>
    </row>
    <row r="662" spans="1:13" x14ac:dyDescent="0.55000000000000004">
      <c r="A662" s="13" t="s">
        <v>1573</v>
      </c>
      <c r="G662" t="s">
        <v>469</v>
      </c>
      <c r="I662" s="14" t="s">
        <v>1431</v>
      </c>
      <c r="J662" s="25" t="s">
        <v>1431</v>
      </c>
    </row>
    <row r="663" spans="1:13" x14ac:dyDescent="0.55000000000000004">
      <c r="A663" s="13" t="s">
        <v>1574</v>
      </c>
      <c r="C663" t="s">
        <v>535</v>
      </c>
      <c r="F663" t="s">
        <v>532</v>
      </c>
      <c r="G663" t="s">
        <v>706</v>
      </c>
      <c r="H663" t="s">
        <v>1575</v>
      </c>
      <c r="I663" s="14" t="s">
        <v>536</v>
      </c>
      <c r="J663" s="25" t="s">
        <v>536</v>
      </c>
    </row>
    <row r="664" spans="1:13" x14ac:dyDescent="0.55000000000000004">
      <c r="A664" s="13" t="s">
        <v>1576</v>
      </c>
      <c r="C664" t="s">
        <v>648</v>
      </c>
      <c r="F664" t="s">
        <v>649</v>
      </c>
      <c r="G664" t="s">
        <v>650</v>
      </c>
      <c r="H664" t="s">
        <v>1577</v>
      </c>
      <c r="I664" s="14" t="s">
        <v>1435</v>
      </c>
      <c r="J664" s="25" t="s">
        <v>1435</v>
      </c>
    </row>
    <row r="665" spans="1:13" x14ac:dyDescent="0.55000000000000004">
      <c r="A665" s="13" t="s">
        <v>1578</v>
      </c>
      <c r="C665" t="s">
        <v>648</v>
      </c>
      <c r="F665" t="s">
        <v>649</v>
      </c>
      <c r="G665" t="s">
        <v>650</v>
      </c>
      <c r="H665" t="s">
        <v>1579</v>
      </c>
      <c r="I665" s="14" t="s">
        <v>1435</v>
      </c>
      <c r="J665" s="25" t="s">
        <v>1435</v>
      </c>
      <c r="K665" t="s">
        <v>962</v>
      </c>
    </row>
    <row r="666" spans="1:13" s="19" customFormat="1" x14ac:dyDescent="0.55000000000000004">
      <c r="A666" s="18" t="s">
        <v>1580</v>
      </c>
      <c r="B666" s="19" t="s">
        <v>16</v>
      </c>
      <c r="C666" s="19" t="s">
        <v>1581</v>
      </c>
      <c r="D666" s="19" t="s">
        <v>18</v>
      </c>
      <c r="F666" s="19" t="s">
        <v>27</v>
      </c>
      <c r="G666" s="19" t="s">
        <v>1699</v>
      </c>
      <c r="H666" t="s">
        <v>1698</v>
      </c>
      <c r="I666" s="20" t="s">
        <v>1697</v>
      </c>
      <c r="J666" s="25" t="s">
        <v>1468</v>
      </c>
      <c r="L666" s="19" t="s">
        <v>962</v>
      </c>
      <c r="M666" s="21" t="s">
        <v>323</v>
      </c>
    </row>
    <row r="667" spans="1:13" x14ac:dyDescent="0.55000000000000004">
      <c r="A667" s="13" t="s">
        <v>1582</v>
      </c>
      <c r="B667" t="s">
        <v>16</v>
      </c>
      <c r="C667" t="s">
        <v>1581</v>
      </c>
      <c r="D667" t="s">
        <v>331</v>
      </c>
      <c r="F667" t="s">
        <v>27</v>
      </c>
      <c r="G667" s="19" t="s">
        <v>1699</v>
      </c>
      <c r="H667" t="s">
        <v>1698</v>
      </c>
      <c r="I667" s="20" t="s">
        <v>1695</v>
      </c>
      <c r="J667" s="25" t="s">
        <v>1441</v>
      </c>
      <c r="L667" t="s">
        <v>962</v>
      </c>
      <c r="M667" s="17" t="s">
        <v>323</v>
      </c>
    </row>
    <row r="668" spans="1:13" s="19" customFormat="1" x14ac:dyDescent="0.55000000000000004">
      <c r="A668" s="19" t="s">
        <v>1701</v>
      </c>
      <c r="B668" s="19" t="s">
        <v>23</v>
      </c>
      <c r="C668" s="19" t="s">
        <v>1581</v>
      </c>
      <c r="D668" s="19" t="s">
        <v>18</v>
      </c>
      <c r="F668" s="19" t="s">
        <v>27</v>
      </c>
      <c r="G668" s="19" t="s">
        <v>1699</v>
      </c>
      <c r="H668" t="s">
        <v>1698</v>
      </c>
      <c r="I668" s="20" t="s">
        <v>1696</v>
      </c>
      <c r="J668" s="25" t="s">
        <v>1468</v>
      </c>
      <c r="L668" s="19" t="s">
        <v>962</v>
      </c>
    </row>
    <row r="669" spans="1:13" x14ac:dyDescent="0.55000000000000004">
      <c r="A669" s="13" t="s">
        <v>1583</v>
      </c>
      <c r="C669" t="s">
        <v>648</v>
      </c>
      <c r="F669" t="s">
        <v>649</v>
      </c>
      <c r="G669" t="s">
        <v>650</v>
      </c>
      <c r="H669" t="s">
        <v>651</v>
      </c>
      <c r="I669" s="14" t="s">
        <v>1584</v>
      </c>
      <c r="J669" s="25" t="s">
        <v>1435</v>
      </c>
      <c r="K669" t="s">
        <v>962</v>
      </c>
    </row>
    <row r="670" spans="1:13" x14ac:dyDescent="0.55000000000000004">
      <c r="A670" s="13" t="s">
        <v>1585</v>
      </c>
      <c r="C670" t="s">
        <v>648</v>
      </c>
      <c r="F670" t="s">
        <v>649</v>
      </c>
      <c r="G670" t="s">
        <v>650</v>
      </c>
      <c r="H670" t="s">
        <v>651</v>
      </c>
      <c r="I670" s="14" t="s">
        <v>1586</v>
      </c>
      <c r="J670" s="25" t="s">
        <v>1435</v>
      </c>
      <c r="K670" t="s">
        <v>962</v>
      </c>
    </row>
    <row r="671" spans="1:13" x14ac:dyDescent="0.55000000000000004">
      <c r="A671" s="13" t="s">
        <v>1587</v>
      </c>
      <c r="C671" t="s">
        <v>648</v>
      </c>
      <c r="F671" t="s">
        <v>649</v>
      </c>
      <c r="G671" t="s">
        <v>650</v>
      </c>
      <c r="H671" t="s">
        <v>651</v>
      </c>
      <c r="I671" s="14" t="s">
        <v>1588</v>
      </c>
      <c r="J671" s="25" t="s">
        <v>1435</v>
      </c>
      <c r="K671" t="s">
        <v>962</v>
      </c>
    </row>
    <row r="672" spans="1:13" x14ac:dyDescent="0.55000000000000004">
      <c r="A672" s="22" t="s">
        <v>1589</v>
      </c>
      <c r="H672" t="s">
        <v>1590</v>
      </c>
      <c r="I672" s="14" t="s">
        <v>1591</v>
      </c>
      <c r="J672" s="25" t="s">
        <v>1555</v>
      </c>
    </row>
    <row r="673" spans="1:11" x14ac:dyDescent="0.55000000000000004">
      <c r="A673" s="23" t="s">
        <v>1592</v>
      </c>
      <c r="H673" t="s">
        <v>1593</v>
      </c>
      <c r="I673" s="14" t="s">
        <v>1594</v>
      </c>
      <c r="J673" s="25" t="s">
        <v>1555</v>
      </c>
    </row>
    <row r="674" spans="1:11" x14ac:dyDescent="0.55000000000000004">
      <c r="A674" s="23" t="s">
        <v>1595</v>
      </c>
      <c r="H674" t="s">
        <v>1596</v>
      </c>
      <c r="I674" s="14" t="s">
        <v>1597</v>
      </c>
      <c r="J674" s="25" t="s">
        <v>1555</v>
      </c>
    </row>
    <row r="675" spans="1:11" x14ac:dyDescent="0.55000000000000004">
      <c r="A675" s="23" t="s">
        <v>1598</v>
      </c>
      <c r="H675" t="s">
        <v>1599</v>
      </c>
      <c r="I675" s="14" t="s">
        <v>1600</v>
      </c>
      <c r="J675" s="25" t="s">
        <v>1555</v>
      </c>
    </row>
    <row r="676" spans="1:11" ht="27.6" x14ac:dyDescent="0.55000000000000004">
      <c r="A676" s="23" t="s">
        <v>1601</v>
      </c>
      <c r="H676" t="s">
        <v>1602</v>
      </c>
      <c r="I676" s="14" t="s">
        <v>1603</v>
      </c>
      <c r="J676" s="25" t="s">
        <v>1555</v>
      </c>
    </row>
    <row r="677" spans="1:11" x14ac:dyDescent="0.55000000000000004">
      <c r="A677" s="23" t="s">
        <v>1604</v>
      </c>
      <c r="H677" t="s">
        <v>1605</v>
      </c>
      <c r="I677" s="14" t="s">
        <v>1606</v>
      </c>
      <c r="J677" s="25" t="s">
        <v>1555</v>
      </c>
    </row>
    <row r="678" spans="1:11" x14ac:dyDescent="0.55000000000000004">
      <c r="A678" s="23" t="s">
        <v>1607</v>
      </c>
      <c r="H678" t="s">
        <v>1608</v>
      </c>
      <c r="I678" s="14" t="s">
        <v>1609</v>
      </c>
      <c r="J678" s="25" t="s">
        <v>1555</v>
      </c>
    </row>
    <row r="679" spans="1:11" x14ac:dyDescent="0.55000000000000004">
      <c r="A679" s="23" t="s">
        <v>1610</v>
      </c>
      <c r="H679" t="s">
        <v>1611</v>
      </c>
      <c r="I679" s="14" t="s">
        <v>1612</v>
      </c>
      <c r="J679" s="25" t="s">
        <v>1555</v>
      </c>
    </row>
    <row r="680" spans="1:11" x14ac:dyDescent="0.55000000000000004">
      <c r="A680" s="23" t="s">
        <v>1613</v>
      </c>
      <c r="H680" t="s">
        <v>1614</v>
      </c>
      <c r="I680" s="14" t="s">
        <v>1615</v>
      </c>
      <c r="J680" s="25" t="s">
        <v>1555</v>
      </c>
    </row>
    <row r="681" spans="1:11" ht="27.6" x14ac:dyDescent="0.55000000000000004">
      <c r="A681" s="23" t="s">
        <v>1616</v>
      </c>
      <c r="H681" t="s">
        <v>1617</v>
      </c>
      <c r="I681" s="14" t="s">
        <v>1618</v>
      </c>
      <c r="J681" s="25" t="s">
        <v>1555</v>
      </c>
    </row>
    <row r="682" spans="1:11" ht="27.6" x14ac:dyDescent="0.55000000000000004">
      <c r="A682" s="23" t="s">
        <v>1619</v>
      </c>
      <c r="H682" t="s">
        <v>1620</v>
      </c>
      <c r="I682" s="14" t="s">
        <v>1621</v>
      </c>
      <c r="J682" s="25" t="s">
        <v>1555</v>
      </c>
    </row>
    <row r="683" spans="1:11" x14ac:dyDescent="0.55000000000000004">
      <c r="A683" s="23" t="s">
        <v>1622</v>
      </c>
      <c r="H683" t="s">
        <v>1623</v>
      </c>
      <c r="I683" s="14" t="s">
        <v>1624</v>
      </c>
      <c r="J683" s="25" t="s">
        <v>1555</v>
      </c>
    </row>
    <row r="684" spans="1:11" x14ac:dyDescent="0.55000000000000004">
      <c r="A684" s="23" t="s">
        <v>1625</v>
      </c>
      <c r="H684" t="s">
        <v>1626</v>
      </c>
      <c r="I684" s="14" t="s">
        <v>1627</v>
      </c>
      <c r="J684" s="25" t="s">
        <v>1555</v>
      </c>
    </row>
    <row r="685" spans="1:11" x14ac:dyDescent="0.55000000000000004">
      <c r="A685" s="23" t="s">
        <v>1628</v>
      </c>
      <c r="H685" t="s">
        <v>1629</v>
      </c>
      <c r="I685" s="14" t="s">
        <v>1630</v>
      </c>
      <c r="J685" s="25" t="s">
        <v>1555</v>
      </c>
    </row>
    <row r="686" spans="1:11" x14ac:dyDescent="0.55000000000000004">
      <c r="A686" s="23" t="s">
        <v>1631</v>
      </c>
      <c r="H686" t="s">
        <v>1632</v>
      </c>
      <c r="I686" s="14" t="s">
        <v>1633</v>
      </c>
      <c r="J686" s="25" t="s">
        <v>1555</v>
      </c>
      <c r="K686" t="s">
        <v>962</v>
      </c>
    </row>
    <row r="687" spans="1:11" ht="27.6" x14ac:dyDescent="0.55000000000000004">
      <c r="A687" s="23" t="s">
        <v>1634</v>
      </c>
      <c r="H687" t="s">
        <v>1635</v>
      </c>
      <c r="I687" s="14" t="s">
        <v>1636</v>
      </c>
      <c r="J687" s="25" t="s">
        <v>1555</v>
      </c>
    </row>
    <row r="688" spans="1:11" ht="27.6" x14ac:dyDescent="0.55000000000000004">
      <c r="A688" s="23" t="s">
        <v>1637</v>
      </c>
      <c r="H688" t="s">
        <v>1638</v>
      </c>
      <c r="I688" s="14" t="s">
        <v>1639</v>
      </c>
      <c r="J688" s="25" t="s">
        <v>1555</v>
      </c>
    </row>
    <row r="689" spans="1:12" x14ac:dyDescent="0.55000000000000004">
      <c r="A689" s="24" t="s">
        <v>1640</v>
      </c>
      <c r="H689" t="s">
        <v>1641</v>
      </c>
      <c r="I689" s="14" t="s">
        <v>1642</v>
      </c>
      <c r="J689" s="25" t="s">
        <v>1555</v>
      </c>
    </row>
    <row r="690" spans="1:12" x14ac:dyDescent="0.55000000000000004">
      <c r="A690" s="13" t="s">
        <v>1643</v>
      </c>
      <c r="H690" t="s">
        <v>1644</v>
      </c>
      <c r="I690" s="14" t="s">
        <v>1645</v>
      </c>
      <c r="J690" s="25" t="s">
        <v>1484</v>
      </c>
    </row>
    <row r="691" spans="1:12" x14ac:dyDescent="0.55000000000000004">
      <c r="A691" s="13" t="s">
        <v>1680</v>
      </c>
      <c r="C691" t="s">
        <v>1687</v>
      </c>
      <c r="F691" t="s">
        <v>532</v>
      </c>
      <c r="G691" s="14" t="s">
        <v>312</v>
      </c>
      <c r="I691" s="14" t="s">
        <v>1684</v>
      </c>
      <c r="J691" s="25" t="s">
        <v>312</v>
      </c>
    </row>
    <row r="692" spans="1:12" x14ac:dyDescent="0.55000000000000004">
      <c r="A692" s="13" t="s">
        <v>1681</v>
      </c>
      <c r="C692" t="s">
        <v>1688</v>
      </c>
      <c r="F692" t="s">
        <v>532</v>
      </c>
      <c r="G692" s="14" t="s">
        <v>312</v>
      </c>
      <c r="I692" s="14" t="s">
        <v>1683</v>
      </c>
      <c r="J692" s="25" t="s">
        <v>312</v>
      </c>
    </row>
    <row r="693" spans="1:12" x14ac:dyDescent="0.55000000000000004">
      <c r="A693" s="13" t="s">
        <v>1682</v>
      </c>
      <c r="C693" t="s">
        <v>1689</v>
      </c>
      <c r="F693" t="s">
        <v>1686</v>
      </c>
      <c r="G693" s="14" t="s">
        <v>312</v>
      </c>
      <c r="I693" s="14" t="s">
        <v>1685</v>
      </c>
      <c r="J693" s="25" t="s">
        <v>312</v>
      </c>
    </row>
    <row r="694" spans="1:12" x14ac:dyDescent="0.55000000000000004">
      <c r="A694" s="13" t="s">
        <v>1693</v>
      </c>
      <c r="C694" t="s">
        <v>1693</v>
      </c>
      <c r="G694" t="s">
        <v>1408</v>
      </c>
      <c r="I694" s="14" t="s">
        <v>1694</v>
      </c>
      <c r="J694" s="25" t="s">
        <v>1431</v>
      </c>
      <c r="L694" t="s">
        <v>538</v>
      </c>
    </row>
    <row r="695" spans="1:12" x14ac:dyDescent="0.55000000000000004">
      <c r="A695" t="s">
        <v>1702</v>
      </c>
      <c r="I695" t="s">
        <v>1702</v>
      </c>
      <c r="J695" s="25" t="s">
        <v>1555</v>
      </c>
    </row>
    <row r="696" spans="1:12" x14ac:dyDescent="0.55000000000000004">
      <c r="A696" t="s">
        <v>1703</v>
      </c>
      <c r="I696" t="s">
        <v>1703</v>
      </c>
      <c r="J696" s="26" t="s">
        <v>1822</v>
      </c>
    </row>
    <row r="697" spans="1:12" x14ac:dyDescent="0.55000000000000004">
      <c r="A697" t="s">
        <v>1704</v>
      </c>
      <c r="I697" t="s">
        <v>1704</v>
      </c>
      <c r="J697" s="26" t="s">
        <v>1823</v>
      </c>
    </row>
    <row r="698" spans="1:12" x14ac:dyDescent="0.55000000000000004">
      <c r="A698" t="s">
        <v>1705</v>
      </c>
      <c r="I698" t="s">
        <v>1705</v>
      </c>
      <c r="J698" s="26" t="s">
        <v>1431</v>
      </c>
    </row>
    <row r="699" spans="1:12" x14ac:dyDescent="0.55000000000000004">
      <c r="A699" t="s">
        <v>1706</v>
      </c>
      <c r="I699" t="s">
        <v>1706</v>
      </c>
      <c r="J699" s="26" t="s">
        <v>1431</v>
      </c>
    </row>
    <row r="700" spans="1:12" x14ac:dyDescent="0.55000000000000004">
      <c r="A700" t="s">
        <v>1707</v>
      </c>
      <c r="I700" t="s">
        <v>1707</v>
      </c>
      <c r="J700" s="26" t="s">
        <v>1431</v>
      </c>
    </row>
    <row r="701" spans="1:12" x14ac:dyDescent="0.55000000000000004">
      <c r="A701" t="s">
        <v>1708</v>
      </c>
      <c r="I701" t="s">
        <v>1708</v>
      </c>
      <c r="J701" s="26" t="s">
        <v>1414</v>
      </c>
    </row>
    <row r="702" spans="1:12" x14ac:dyDescent="0.55000000000000004">
      <c r="A702" t="s">
        <v>1709</v>
      </c>
      <c r="I702" t="s">
        <v>1709</v>
      </c>
      <c r="J702" s="26" t="s">
        <v>1414</v>
      </c>
    </row>
    <row r="703" spans="1:12" x14ac:dyDescent="0.55000000000000004">
      <c r="A703" t="s">
        <v>1710</v>
      </c>
      <c r="I703" t="s">
        <v>1710</v>
      </c>
      <c r="J703" s="26" t="s">
        <v>1414</v>
      </c>
    </row>
    <row r="704" spans="1:12" x14ac:dyDescent="0.55000000000000004">
      <c r="A704" t="s">
        <v>1711</v>
      </c>
      <c r="I704" t="s">
        <v>1711</v>
      </c>
      <c r="J704" s="26" t="s">
        <v>1414</v>
      </c>
    </row>
    <row r="705" spans="1:10" x14ac:dyDescent="0.55000000000000004">
      <c r="A705" t="s">
        <v>1712</v>
      </c>
      <c r="I705" t="s">
        <v>1712</v>
      </c>
      <c r="J705" s="26" t="s">
        <v>1414</v>
      </c>
    </row>
    <row r="706" spans="1:10" x14ac:dyDescent="0.55000000000000004">
      <c r="A706" t="s">
        <v>1713</v>
      </c>
      <c r="I706" t="s">
        <v>1713</v>
      </c>
      <c r="J706" s="26" t="s">
        <v>1414</v>
      </c>
    </row>
    <row r="707" spans="1:10" x14ac:dyDescent="0.55000000000000004">
      <c r="A707" t="s">
        <v>1714</v>
      </c>
      <c r="I707" t="s">
        <v>1714</v>
      </c>
      <c r="J707" s="26" t="s">
        <v>1414</v>
      </c>
    </row>
    <row r="708" spans="1:10" x14ac:dyDescent="0.55000000000000004">
      <c r="A708" t="s">
        <v>1715</v>
      </c>
      <c r="I708" t="s">
        <v>1715</v>
      </c>
      <c r="J708" s="26" t="s">
        <v>1414</v>
      </c>
    </row>
    <row r="709" spans="1:10" x14ac:dyDescent="0.55000000000000004">
      <c r="A709" t="s">
        <v>1716</v>
      </c>
      <c r="I709" t="s">
        <v>1716</v>
      </c>
      <c r="J709" s="26" t="s">
        <v>1431</v>
      </c>
    </row>
    <row r="710" spans="1:10" x14ac:dyDescent="0.55000000000000004">
      <c r="A710" t="s">
        <v>1717</v>
      </c>
      <c r="I710" t="s">
        <v>1717</v>
      </c>
      <c r="J710" s="26" t="s">
        <v>1431</v>
      </c>
    </row>
    <row r="711" spans="1:10" x14ac:dyDescent="0.55000000000000004">
      <c r="A711" t="s">
        <v>1718</v>
      </c>
      <c r="I711" t="s">
        <v>1718</v>
      </c>
      <c r="J711" s="26" t="s">
        <v>1431</v>
      </c>
    </row>
    <row r="712" spans="1:10" x14ac:dyDescent="0.55000000000000004">
      <c r="A712" t="s">
        <v>1719</v>
      </c>
      <c r="I712" t="s">
        <v>1719</v>
      </c>
      <c r="J712" s="26" t="s">
        <v>1431</v>
      </c>
    </row>
    <row r="713" spans="1:10" x14ac:dyDescent="0.55000000000000004">
      <c r="A713" t="s">
        <v>1720</v>
      </c>
      <c r="I713" t="s">
        <v>1720</v>
      </c>
      <c r="J713" s="26" t="s">
        <v>1431</v>
      </c>
    </row>
    <row r="714" spans="1:10" x14ac:dyDescent="0.55000000000000004">
      <c r="A714" t="s">
        <v>1721</v>
      </c>
      <c r="I714" t="s">
        <v>1721</v>
      </c>
      <c r="J714" s="26" t="s">
        <v>1431</v>
      </c>
    </row>
    <row r="715" spans="1:10" x14ac:dyDescent="0.55000000000000004">
      <c r="A715" t="s">
        <v>1722</v>
      </c>
      <c r="I715" t="s">
        <v>1722</v>
      </c>
      <c r="J715" s="26" t="s">
        <v>1431</v>
      </c>
    </row>
    <row r="716" spans="1:10" x14ac:dyDescent="0.55000000000000004">
      <c r="A716" t="s">
        <v>1723</v>
      </c>
      <c r="I716" t="s">
        <v>1723</v>
      </c>
      <c r="J716" s="26" t="s">
        <v>1431</v>
      </c>
    </row>
    <row r="717" spans="1:10" x14ac:dyDescent="0.55000000000000004">
      <c r="A717" t="s">
        <v>1724</v>
      </c>
      <c r="I717" t="s">
        <v>1724</v>
      </c>
      <c r="J717" s="26" t="s">
        <v>1431</v>
      </c>
    </row>
    <row r="718" spans="1:10" x14ac:dyDescent="0.55000000000000004">
      <c r="A718" t="s">
        <v>1725</v>
      </c>
      <c r="I718" t="s">
        <v>1725</v>
      </c>
      <c r="J718" s="26" t="s">
        <v>1426</v>
      </c>
    </row>
    <row r="719" spans="1:10" x14ac:dyDescent="0.55000000000000004">
      <c r="A719" t="s">
        <v>1726</v>
      </c>
      <c r="I719" t="s">
        <v>1726</v>
      </c>
      <c r="J719" s="26" t="s">
        <v>1426</v>
      </c>
    </row>
    <row r="720" spans="1:10" x14ac:dyDescent="0.55000000000000004">
      <c r="A720" t="s">
        <v>1727</v>
      </c>
      <c r="I720" t="s">
        <v>1727</v>
      </c>
      <c r="J720" s="26" t="s">
        <v>1468</v>
      </c>
    </row>
    <row r="721" spans="1:10" x14ac:dyDescent="0.55000000000000004">
      <c r="A721" t="s">
        <v>1728</v>
      </c>
      <c r="I721" t="s">
        <v>1728</v>
      </c>
      <c r="J721" s="26" t="s">
        <v>1468</v>
      </c>
    </row>
    <row r="722" spans="1:10" x14ac:dyDescent="0.55000000000000004">
      <c r="A722" t="s">
        <v>1729</v>
      </c>
      <c r="I722" t="s">
        <v>1729</v>
      </c>
      <c r="J722" s="26" t="s">
        <v>1441</v>
      </c>
    </row>
    <row r="723" spans="1:10" x14ac:dyDescent="0.55000000000000004">
      <c r="A723" t="s">
        <v>1730</v>
      </c>
      <c r="I723" t="s">
        <v>1730</v>
      </c>
      <c r="J723" s="26" t="s">
        <v>1823</v>
      </c>
    </row>
    <row r="724" spans="1:10" x14ac:dyDescent="0.55000000000000004">
      <c r="A724" t="s">
        <v>1731</v>
      </c>
      <c r="I724" t="s">
        <v>1731</v>
      </c>
      <c r="J724" s="26" t="s">
        <v>1431</v>
      </c>
    </row>
    <row r="725" spans="1:10" x14ac:dyDescent="0.55000000000000004">
      <c r="A725" t="s">
        <v>1732</v>
      </c>
      <c r="I725" t="s">
        <v>1732</v>
      </c>
      <c r="J725" s="26" t="s">
        <v>1431</v>
      </c>
    </row>
    <row r="726" spans="1:10" x14ac:dyDescent="0.55000000000000004">
      <c r="A726" t="s">
        <v>1733</v>
      </c>
      <c r="I726" t="s">
        <v>1733</v>
      </c>
      <c r="J726" s="26" t="s">
        <v>1435</v>
      </c>
    </row>
    <row r="727" spans="1:10" x14ac:dyDescent="0.55000000000000004">
      <c r="A727" t="s">
        <v>1734</v>
      </c>
      <c r="I727" t="s">
        <v>1734</v>
      </c>
      <c r="J727" s="26" t="s">
        <v>1435</v>
      </c>
    </row>
    <row r="728" spans="1:10" x14ac:dyDescent="0.55000000000000004">
      <c r="A728" t="s">
        <v>1735</v>
      </c>
      <c r="I728" t="s">
        <v>1735</v>
      </c>
      <c r="J728" s="26" t="s">
        <v>1822</v>
      </c>
    </row>
    <row r="729" spans="1:10" x14ac:dyDescent="0.55000000000000004">
      <c r="A729" t="s">
        <v>1736</v>
      </c>
      <c r="I729" t="s">
        <v>1736</v>
      </c>
      <c r="J729" s="26" t="s">
        <v>1824</v>
      </c>
    </row>
    <row r="730" spans="1:10" x14ac:dyDescent="0.55000000000000004">
      <c r="A730" t="s">
        <v>1737</v>
      </c>
      <c r="I730" t="s">
        <v>1737</v>
      </c>
      <c r="J730" s="26" t="s">
        <v>1824</v>
      </c>
    </row>
    <row r="731" spans="1:10" x14ac:dyDescent="0.55000000000000004">
      <c r="A731" t="s">
        <v>1738</v>
      </c>
      <c r="I731" t="s">
        <v>1738</v>
      </c>
      <c r="J731" s="26" t="s">
        <v>1824</v>
      </c>
    </row>
    <row r="732" spans="1:10" x14ac:dyDescent="0.55000000000000004">
      <c r="A732" t="s">
        <v>1739</v>
      </c>
      <c r="I732" t="s">
        <v>1739</v>
      </c>
      <c r="J732" s="26" t="s">
        <v>1824</v>
      </c>
    </row>
    <row r="733" spans="1:10" x14ac:dyDescent="0.55000000000000004">
      <c r="A733" t="s">
        <v>1740</v>
      </c>
      <c r="I733" t="s">
        <v>1740</v>
      </c>
      <c r="J733" s="26" t="s">
        <v>1824</v>
      </c>
    </row>
    <row r="734" spans="1:10" x14ac:dyDescent="0.55000000000000004">
      <c r="A734" t="s">
        <v>1741</v>
      </c>
      <c r="I734" t="s">
        <v>1741</v>
      </c>
      <c r="J734" s="26" t="s">
        <v>1824</v>
      </c>
    </row>
    <row r="735" spans="1:10" x14ac:dyDescent="0.55000000000000004">
      <c r="A735" t="s">
        <v>1742</v>
      </c>
      <c r="I735" t="s">
        <v>1742</v>
      </c>
      <c r="J735" s="26" t="s">
        <v>1824</v>
      </c>
    </row>
    <row r="736" spans="1:10" x14ac:dyDescent="0.55000000000000004">
      <c r="A736" t="s">
        <v>1743</v>
      </c>
      <c r="I736" t="s">
        <v>1743</v>
      </c>
      <c r="J736" s="26" t="s">
        <v>1468</v>
      </c>
    </row>
    <row r="737" spans="1:10" x14ac:dyDescent="0.55000000000000004">
      <c r="A737" t="s">
        <v>1744</v>
      </c>
      <c r="I737" t="s">
        <v>1744</v>
      </c>
      <c r="J737" s="26" t="s">
        <v>1468</v>
      </c>
    </row>
    <row r="738" spans="1:10" x14ac:dyDescent="0.55000000000000004">
      <c r="A738" t="s">
        <v>1745</v>
      </c>
      <c r="I738" t="s">
        <v>1745</v>
      </c>
      <c r="J738" s="26" t="s">
        <v>1441</v>
      </c>
    </row>
    <row r="739" spans="1:10" x14ac:dyDescent="0.55000000000000004">
      <c r="A739" t="s">
        <v>1746</v>
      </c>
      <c r="I739" t="s">
        <v>1746</v>
      </c>
      <c r="J739" s="26" t="s">
        <v>1468</v>
      </c>
    </row>
    <row r="740" spans="1:10" x14ac:dyDescent="0.55000000000000004">
      <c r="A740" t="s">
        <v>1747</v>
      </c>
      <c r="I740" t="s">
        <v>1747</v>
      </c>
      <c r="J740" s="26" t="s">
        <v>1468</v>
      </c>
    </row>
    <row r="741" spans="1:10" x14ac:dyDescent="0.55000000000000004">
      <c r="A741" t="s">
        <v>1748</v>
      </c>
      <c r="I741" t="s">
        <v>1748</v>
      </c>
      <c r="J741" s="26" t="s">
        <v>1441</v>
      </c>
    </row>
    <row r="742" spans="1:10" x14ac:dyDescent="0.55000000000000004">
      <c r="A742" t="s">
        <v>1749</v>
      </c>
      <c r="I742" t="s">
        <v>1749</v>
      </c>
      <c r="J742" s="26" t="s">
        <v>1468</v>
      </c>
    </row>
    <row r="743" spans="1:10" x14ac:dyDescent="0.55000000000000004">
      <c r="A743" t="s">
        <v>1750</v>
      </c>
      <c r="I743" t="s">
        <v>1750</v>
      </c>
      <c r="J743" s="26" t="s">
        <v>1468</v>
      </c>
    </row>
    <row r="744" spans="1:10" x14ac:dyDescent="0.55000000000000004">
      <c r="A744" t="s">
        <v>1751</v>
      </c>
      <c r="I744" t="s">
        <v>1751</v>
      </c>
      <c r="J744" s="26" t="s">
        <v>1441</v>
      </c>
    </row>
    <row r="745" spans="1:10" x14ac:dyDescent="0.55000000000000004">
      <c r="A745" t="s">
        <v>1752</v>
      </c>
      <c r="I745" t="s">
        <v>1752</v>
      </c>
      <c r="J745" s="26" t="s">
        <v>1468</v>
      </c>
    </row>
    <row r="746" spans="1:10" x14ac:dyDescent="0.55000000000000004">
      <c r="A746" t="s">
        <v>1753</v>
      </c>
      <c r="I746" t="s">
        <v>1753</v>
      </c>
      <c r="J746" s="26" t="s">
        <v>1468</v>
      </c>
    </row>
    <row r="747" spans="1:10" x14ac:dyDescent="0.55000000000000004">
      <c r="A747" t="s">
        <v>1754</v>
      </c>
      <c r="I747" t="s">
        <v>1754</v>
      </c>
      <c r="J747" s="26" t="s">
        <v>1441</v>
      </c>
    </row>
    <row r="748" spans="1:10" x14ac:dyDescent="0.55000000000000004">
      <c r="A748" t="s">
        <v>1755</v>
      </c>
      <c r="I748" t="s">
        <v>1755</v>
      </c>
    </row>
    <row r="749" spans="1:10" x14ac:dyDescent="0.55000000000000004">
      <c r="A749" t="s">
        <v>1756</v>
      </c>
      <c r="I749" t="s">
        <v>1756</v>
      </c>
    </row>
    <row r="750" spans="1:10" x14ac:dyDescent="0.55000000000000004">
      <c r="A750" t="s">
        <v>1757</v>
      </c>
      <c r="I750" t="s">
        <v>1757</v>
      </c>
    </row>
    <row r="751" spans="1:10" x14ac:dyDescent="0.55000000000000004">
      <c r="A751" t="s">
        <v>1758</v>
      </c>
      <c r="I751" t="s">
        <v>1758</v>
      </c>
    </row>
    <row r="752" spans="1:10" x14ac:dyDescent="0.55000000000000004">
      <c r="A752" t="s">
        <v>1759</v>
      </c>
      <c r="I752" t="s">
        <v>1759</v>
      </c>
    </row>
    <row r="753" spans="1:9" x14ac:dyDescent="0.55000000000000004">
      <c r="A753" t="s">
        <v>1760</v>
      </c>
      <c r="I753" t="s">
        <v>1760</v>
      </c>
    </row>
    <row r="754" spans="1:9" x14ac:dyDescent="0.55000000000000004">
      <c r="A754" t="s">
        <v>1761</v>
      </c>
      <c r="I754" t="s">
        <v>1761</v>
      </c>
    </row>
    <row r="755" spans="1:9" x14ac:dyDescent="0.55000000000000004">
      <c r="A755" t="s">
        <v>1762</v>
      </c>
      <c r="I755" t="s">
        <v>1762</v>
      </c>
    </row>
    <row r="756" spans="1:9" x14ac:dyDescent="0.55000000000000004">
      <c r="A756" t="s">
        <v>1763</v>
      </c>
      <c r="I756" t="s">
        <v>1763</v>
      </c>
    </row>
    <row r="757" spans="1:9" x14ac:dyDescent="0.55000000000000004">
      <c r="A757" t="s">
        <v>1764</v>
      </c>
      <c r="I757" t="s">
        <v>1764</v>
      </c>
    </row>
    <row r="758" spans="1:9" x14ac:dyDescent="0.55000000000000004">
      <c r="A758" t="s">
        <v>1765</v>
      </c>
      <c r="I758" t="s">
        <v>1765</v>
      </c>
    </row>
    <row r="759" spans="1:9" x14ac:dyDescent="0.55000000000000004">
      <c r="A759" t="s">
        <v>1766</v>
      </c>
      <c r="I759" t="s">
        <v>1766</v>
      </c>
    </row>
    <row r="760" spans="1:9" x14ac:dyDescent="0.55000000000000004">
      <c r="A760" t="s">
        <v>1767</v>
      </c>
      <c r="I760" t="s">
        <v>1767</v>
      </c>
    </row>
    <row r="761" spans="1:9" x14ac:dyDescent="0.55000000000000004">
      <c r="A761" t="s">
        <v>1768</v>
      </c>
      <c r="I761" t="s">
        <v>1768</v>
      </c>
    </row>
    <row r="762" spans="1:9" x14ac:dyDescent="0.55000000000000004">
      <c r="A762" t="s">
        <v>1769</v>
      </c>
      <c r="I762" t="s">
        <v>1769</v>
      </c>
    </row>
    <row r="763" spans="1:9" x14ac:dyDescent="0.55000000000000004">
      <c r="A763" t="s">
        <v>1770</v>
      </c>
      <c r="I763" t="s">
        <v>1770</v>
      </c>
    </row>
    <row r="764" spans="1:9" x14ac:dyDescent="0.55000000000000004">
      <c r="A764" t="s">
        <v>1771</v>
      </c>
      <c r="I764" t="s">
        <v>1771</v>
      </c>
    </row>
    <row r="765" spans="1:9" x14ac:dyDescent="0.55000000000000004">
      <c r="A765" t="s">
        <v>1772</v>
      </c>
      <c r="I765" t="s">
        <v>1772</v>
      </c>
    </row>
    <row r="766" spans="1:9" x14ac:dyDescent="0.55000000000000004">
      <c r="A766" t="s">
        <v>1773</v>
      </c>
      <c r="I766" t="s">
        <v>1773</v>
      </c>
    </row>
    <row r="767" spans="1:9" x14ac:dyDescent="0.55000000000000004">
      <c r="A767" t="s">
        <v>1774</v>
      </c>
      <c r="I767" t="s">
        <v>1774</v>
      </c>
    </row>
    <row r="768" spans="1:9" x14ac:dyDescent="0.55000000000000004">
      <c r="A768" t="s">
        <v>1775</v>
      </c>
      <c r="I768" t="s">
        <v>1775</v>
      </c>
    </row>
    <row r="769" spans="1:10" x14ac:dyDescent="0.55000000000000004">
      <c r="A769" t="s">
        <v>1776</v>
      </c>
      <c r="I769" t="s">
        <v>1776</v>
      </c>
      <c r="J769" s="25" t="s">
        <v>1468</v>
      </c>
    </row>
    <row r="770" spans="1:10" x14ac:dyDescent="0.55000000000000004">
      <c r="A770" t="s">
        <v>1777</v>
      </c>
      <c r="I770" t="s">
        <v>1777</v>
      </c>
      <c r="J770" s="25" t="s">
        <v>1468</v>
      </c>
    </row>
    <row r="771" spans="1:10" x14ac:dyDescent="0.55000000000000004">
      <c r="A771" t="s">
        <v>1778</v>
      </c>
      <c r="I771" t="s">
        <v>1778</v>
      </c>
      <c r="J771" s="25" t="s">
        <v>1468</v>
      </c>
    </row>
    <row r="772" spans="1:10" x14ac:dyDescent="0.55000000000000004">
      <c r="A772" t="s">
        <v>1779</v>
      </c>
      <c r="I772" t="s">
        <v>1779</v>
      </c>
      <c r="J772" s="25" t="s">
        <v>1824</v>
      </c>
    </row>
    <row r="773" spans="1:10" x14ac:dyDescent="0.55000000000000004">
      <c r="A773" t="s">
        <v>1780</v>
      </c>
      <c r="I773" t="s">
        <v>1780</v>
      </c>
      <c r="J773" s="25" t="s">
        <v>1824</v>
      </c>
    </row>
    <row r="774" spans="1:10" x14ac:dyDescent="0.55000000000000004">
      <c r="A774" t="s">
        <v>1781</v>
      </c>
      <c r="I774" t="s">
        <v>1781</v>
      </c>
      <c r="J774" s="25" t="s">
        <v>1824</v>
      </c>
    </row>
    <row r="775" spans="1:10" x14ac:dyDescent="0.55000000000000004">
      <c r="A775" t="s">
        <v>1782</v>
      </c>
      <c r="I775" t="s">
        <v>1782</v>
      </c>
      <c r="J775" s="25" t="s">
        <v>1824</v>
      </c>
    </row>
    <row r="776" spans="1:10" x14ac:dyDescent="0.55000000000000004">
      <c r="A776" t="s">
        <v>1783</v>
      </c>
      <c r="I776" t="s">
        <v>1783</v>
      </c>
      <c r="J776" s="25" t="s">
        <v>1484</v>
      </c>
    </row>
    <row r="777" spans="1:10" x14ac:dyDescent="0.55000000000000004">
      <c r="A777" t="s">
        <v>1784</v>
      </c>
      <c r="I777" t="s">
        <v>1784</v>
      </c>
    </row>
    <row r="778" spans="1:10" x14ac:dyDescent="0.55000000000000004">
      <c r="A778" t="s">
        <v>1785</v>
      </c>
      <c r="I778" t="s">
        <v>1785</v>
      </c>
      <c r="J778" s="25" t="s">
        <v>1431</v>
      </c>
    </row>
    <row r="779" spans="1:10" x14ac:dyDescent="0.55000000000000004">
      <c r="A779" t="s">
        <v>1786</v>
      </c>
      <c r="I779" t="s">
        <v>1786</v>
      </c>
      <c r="J779" s="25" t="s">
        <v>1431</v>
      </c>
    </row>
    <row r="780" spans="1:10" x14ac:dyDescent="0.55000000000000004">
      <c r="A780" t="s">
        <v>1787</v>
      </c>
      <c r="I780" t="s">
        <v>1787</v>
      </c>
      <c r="J780" s="25" t="s">
        <v>1431</v>
      </c>
    </row>
    <row r="781" spans="1:10" x14ac:dyDescent="0.55000000000000004">
      <c r="A781" t="s">
        <v>1788</v>
      </c>
      <c r="I781" t="s">
        <v>1788</v>
      </c>
      <c r="J781" s="25" t="s">
        <v>1431</v>
      </c>
    </row>
    <row r="782" spans="1:10" x14ac:dyDescent="0.55000000000000004">
      <c r="A782" t="s">
        <v>1789</v>
      </c>
      <c r="I782" t="s">
        <v>1789</v>
      </c>
      <c r="J782" s="25" t="s">
        <v>1435</v>
      </c>
    </row>
    <row r="783" spans="1:10" x14ac:dyDescent="0.55000000000000004">
      <c r="A783" t="s">
        <v>1790</v>
      </c>
      <c r="I783" t="s">
        <v>1790</v>
      </c>
      <c r="J783" s="25" t="s">
        <v>1435</v>
      </c>
    </row>
    <row r="784" spans="1:10" x14ac:dyDescent="0.55000000000000004">
      <c r="A784" t="s">
        <v>1791</v>
      </c>
      <c r="I784" t="s">
        <v>1791</v>
      </c>
      <c r="J784" s="25" t="s">
        <v>1435</v>
      </c>
    </row>
    <row r="785" spans="1:10" x14ac:dyDescent="0.55000000000000004">
      <c r="A785" t="s">
        <v>1792</v>
      </c>
      <c r="I785" t="s">
        <v>1792</v>
      </c>
      <c r="J785" s="25" t="s">
        <v>1431</v>
      </c>
    </row>
    <row r="786" spans="1:10" x14ac:dyDescent="0.55000000000000004">
      <c r="A786" t="s">
        <v>1793</v>
      </c>
      <c r="I786" t="s">
        <v>1793</v>
      </c>
      <c r="J786" s="25" t="s">
        <v>1431</v>
      </c>
    </row>
    <row r="787" spans="1:10" x14ac:dyDescent="0.55000000000000004">
      <c r="A787" t="s">
        <v>1794</v>
      </c>
      <c r="I787" t="s">
        <v>1794</v>
      </c>
      <c r="J787" s="25" t="s">
        <v>1414</v>
      </c>
    </row>
    <row r="788" spans="1:10" x14ac:dyDescent="0.55000000000000004">
      <c r="A788" t="s">
        <v>1795</v>
      </c>
      <c r="I788" t="s">
        <v>1795</v>
      </c>
      <c r="J788" s="25" t="s">
        <v>1822</v>
      </c>
    </row>
    <row r="789" spans="1:10" x14ac:dyDescent="0.55000000000000004">
      <c r="A789" t="s">
        <v>1796</v>
      </c>
      <c r="I789" t="s">
        <v>1796</v>
      </c>
      <c r="J789" s="25" t="s">
        <v>1822</v>
      </c>
    </row>
    <row r="790" spans="1:10" x14ac:dyDescent="0.55000000000000004">
      <c r="A790" t="s">
        <v>1797</v>
      </c>
      <c r="I790" t="s">
        <v>1797</v>
      </c>
      <c r="J790" s="25" t="s">
        <v>1822</v>
      </c>
    </row>
    <row r="791" spans="1:10" x14ac:dyDescent="0.55000000000000004">
      <c r="A791" t="s">
        <v>1798</v>
      </c>
      <c r="I791" t="s">
        <v>1798</v>
      </c>
      <c r="J791" s="25" t="s">
        <v>1822</v>
      </c>
    </row>
    <row r="792" spans="1:10" x14ac:dyDescent="0.55000000000000004">
      <c r="A792" t="s">
        <v>1799</v>
      </c>
      <c r="I792" t="s">
        <v>1799</v>
      </c>
      <c r="J792" s="26" t="s">
        <v>1824</v>
      </c>
    </row>
    <row r="793" spans="1:10" x14ac:dyDescent="0.55000000000000004">
      <c r="A793" t="s">
        <v>1800</v>
      </c>
      <c r="I793" t="s">
        <v>1800</v>
      </c>
      <c r="J793" s="25" t="s">
        <v>1822</v>
      </c>
    </row>
    <row r="794" spans="1:10" x14ac:dyDescent="0.55000000000000004">
      <c r="A794" t="s">
        <v>1801</v>
      </c>
      <c r="I794" t="s">
        <v>1801</v>
      </c>
      <c r="J794" s="25" t="s">
        <v>1822</v>
      </c>
    </row>
    <row r="795" spans="1:10" x14ac:dyDescent="0.55000000000000004">
      <c r="A795" t="s">
        <v>1802</v>
      </c>
      <c r="I795" t="s">
        <v>1802</v>
      </c>
      <c r="J795" s="25" t="s">
        <v>1822</v>
      </c>
    </row>
    <row r="796" spans="1:10" x14ac:dyDescent="0.55000000000000004">
      <c r="A796" t="s">
        <v>1803</v>
      </c>
      <c r="I796" t="s">
        <v>1803</v>
      </c>
      <c r="J796" s="25" t="s">
        <v>1822</v>
      </c>
    </row>
    <row r="797" spans="1:10" x14ac:dyDescent="0.55000000000000004">
      <c r="A797" t="s">
        <v>1804</v>
      </c>
      <c r="I797" t="s">
        <v>1804</v>
      </c>
      <c r="J797" s="25" t="s">
        <v>1414</v>
      </c>
    </row>
    <row r="798" spans="1:10" x14ac:dyDescent="0.55000000000000004">
      <c r="A798" t="s">
        <v>1805</v>
      </c>
      <c r="I798" t="s">
        <v>1805</v>
      </c>
      <c r="J798" s="25" t="s">
        <v>1414</v>
      </c>
    </row>
    <row r="799" spans="1:10" x14ac:dyDescent="0.55000000000000004">
      <c r="A799" t="s">
        <v>1806</v>
      </c>
      <c r="I799" t="s">
        <v>1806</v>
      </c>
      <c r="J799" s="25" t="s">
        <v>1414</v>
      </c>
    </row>
    <row r="800" spans="1:10" x14ac:dyDescent="0.55000000000000004">
      <c r="A800" t="s">
        <v>1807</v>
      </c>
      <c r="I800" t="s">
        <v>1807</v>
      </c>
      <c r="J800" s="26" t="s">
        <v>1431</v>
      </c>
    </row>
    <row r="801" spans="1:10" x14ac:dyDescent="0.55000000000000004">
      <c r="A801" t="s">
        <v>1808</v>
      </c>
      <c r="I801" t="s">
        <v>1808</v>
      </c>
      <c r="J801" s="26" t="s">
        <v>1431</v>
      </c>
    </row>
    <row r="802" spans="1:10" x14ac:dyDescent="0.55000000000000004">
      <c r="A802" t="s">
        <v>1809</v>
      </c>
      <c r="I802" t="s">
        <v>1809</v>
      </c>
      <c r="J802" s="26" t="s">
        <v>1431</v>
      </c>
    </row>
    <row r="803" spans="1:10" x14ac:dyDescent="0.55000000000000004">
      <c r="A803" t="s">
        <v>1810</v>
      </c>
      <c r="I803" t="s">
        <v>1810</v>
      </c>
      <c r="J803" s="26" t="s">
        <v>1431</v>
      </c>
    </row>
    <row r="804" spans="1:10" x14ac:dyDescent="0.55000000000000004">
      <c r="A804" t="s">
        <v>1811</v>
      </c>
      <c r="I804" t="s">
        <v>1811</v>
      </c>
      <c r="J804" s="26" t="s">
        <v>1431</v>
      </c>
    </row>
    <row r="805" spans="1:10" x14ac:dyDescent="0.55000000000000004">
      <c r="A805" t="s">
        <v>1812</v>
      </c>
      <c r="I805" t="s">
        <v>1812</v>
      </c>
      <c r="J805" s="26" t="s">
        <v>1431</v>
      </c>
    </row>
    <row r="806" spans="1:10" x14ac:dyDescent="0.55000000000000004">
      <c r="A806" t="s">
        <v>1813</v>
      </c>
      <c r="I806" t="s">
        <v>1813</v>
      </c>
      <c r="J806" s="26" t="s">
        <v>1431</v>
      </c>
    </row>
    <row r="807" spans="1:10" x14ac:dyDescent="0.55000000000000004">
      <c r="A807" t="s">
        <v>1814</v>
      </c>
      <c r="I807" t="s">
        <v>1814</v>
      </c>
      <c r="J807" s="26" t="s">
        <v>1431</v>
      </c>
    </row>
    <row r="808" spans="1:10" x14ac:dyDescent="0.55000000000000004">
      <c r="A808" t="s">
        <v>1815</v>
      </c>
      <c r="I808" t="s">
        <v>1815</v>
      </c>
      <c r="J808" s="26" t="s">
        <v>1431</v>
      </c>
    </row>
    <row r="809" spans="1:10" x14ac:dyDescent="0.55000000000000004">
      <c r="A809" t="s">
        <v>1816</v>
      </c>
      <c r="I809" t="s">
        <v>1816</v>
      </c>
      <c r="J809" s="26" t="s">
        <v>1431</v>
      </c>
    </row>
    <row r="810" spans="1:10" x14ac:dyDescent="0.55000000000000004">
      <c r="A810" t="s">
        <v>1817</v>
      </c>
      <c r="I810" t="s">
        <v>1817</v>
      </c>
      <c r="J810" s="26" t="s">
        <v>1431</v>
      </c>
    </row>
    <row r="811" spans="1:10" x14ac:dyDescent="0.55000000000000004">
      <c r="A811" t="s">
        <v>1818</v>
      </c>
      <c r="I811" t="s">
        <v>1818</v>
      </c>
      <c r="J811" s="26" t="s">
        <v>1414</v>
      </c>
    </row>
    <row r="812" spans="1:10" x14ac:dyDescent="0.55000000000000004">
      <c r="A812" t="s">
        <v>1819</v>
      </c>
      <c r="I812" t="s">
        <v>1819</v>
      </c>
      <c r="J812" s="25" t="s">
        <v>536</v>
      </c>
    </row>
    <row r="813" spans="1:10" x14ac:dyDescent="0.55000000000000004">
      <c r="A813" t="s">
        <v>1820</v>
      </c>
      <c r="I813" t="s">
        <v>1820</v>
      </c>
      <c r="J813" s="25" t="s">
        <v>312</v>
      </c>
    </row>
    <row r="814" spans="1:10" x14ac:dyDescent="0.55000000000000004">
      <c r="A814" t="s">
        <v>1821</v>
      </c>
      <c r="I814" t="s">
        <v>1821</v>
      </c>
      <c r="J814" s="25" t="s">
        <v>312</v>
      </c>
    </row>
  </sheetData>
  <autoFilter ref="A1:Q694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selection activeCell="B22" sqref="B22"/>
    </sheetView>
  </sheetViews>
  <sheetFormatPr defaultRowHeight="14.4" x14ac:dyDescent="0.55000000000000004"/>
  <cols>
    <col min="1" max="1" width="34.5234375" customWidth="1"/>
    <col min="2" max="2" width="20.20703125" style="4" customWidth="1"/>
    <col min="3" max="3" width="19.5234375" style="5" customWidth="1"/>
    <col min="4" max="4" width="17.5234375" style="5" customWidth="1"/>
    <col min="5" max="5" width="24" style="5" customWidth="1"/>
    <col min="6" max="6" width="18.7890625" style="5" customWidth="1"/>
    <col min="7" max="7" width="11.7890625" style="9" customWidth="1"/>
    <col min="8" max="9" width="18.7890625" customWidth="1"/>
  </cols>
  <sheetData>
    <row r="1" spans="1:9" s="2" customFormat="1" x14ac:dyDescent="0.55000000000000004">
      <c r="A1" s="3" t="s">
        <v>1646</v>
      </c>
      <c r="B1" s="6" t="s">
        <v>1647</v>
      </c>
      <c r="C1" s="7" t="s">
        <v>1648</v>
      </c>
      <c r="D1" s="7" t="s">
        <v>1649</v>
      </c>
      <c r="E1" s="7" t="s">
        <v>1650</v>
      </c>
      <c r="F1" s="7" t="s">
        <v>1651</v>
      </c>
      <c r="G1" s="8" t="s">
        <v>1652</v>
      </c>
      <c r="I1" s="6" t="s">
        <v>1647</v>
      </c>
    </row>
    <row r="2" spans="1:9" x14ac:dyDescent="0.55000000000000004">
      <c r="A2" s="1" t="s">
        <v>1653</v>
      </c>
      <c r="B2" s="4" t="s">
        <v>1654</v>
      </c>
      <c r="I2" t="s">
        <v>1654</v>
      </c>
    </row>
    <row r="3" spans="1:9" x14ac:dyDescent="0.55000000000000004">
      <c r="A3" s="1" t="s">
        <v>1655</v>
      </c>
      <c r="I3" t="s">
        <v>1656</v>
      </c>
    </row>
    <row r="4" spans="1:9" x14ac:dyDescent="0.55000000000000004">
      <c r="A4" s="1" t="s">
        <v>1657</v>
      </c>
      <c r="I4" t="s">
        <v>1658</v>
      </c>
    </row>
    <row r="5" spans="1:9" x14ac:dyDescent="0.55000000000000004">
      <c r="A5" s="1" t="s">
        <v>1659</v>
      </c>
      <c r="I5" t="s">
        <v>1660</v>
      </c>
    </row>
    <row r="6" spans="1:9" x14ac:dyDescent="0.55000000000000004">
      <c r="A6" s="1" t="s">
        <v>1661</v>
      </c>
      <c r="I6" t="s">
        <v>1662</v>
      </c>
    </row>
    <row r="7" spans="1:9" x14ac:dyDescent="0.55000000000000004">
      <c r="A7" s="1" t="s">
        <v>1663</v>
      </c>
      <c r="I7" t="s">
        <v>1662</v>
      </c>
    </row>
    <row r="8" spans="1:9" x14ac:dyDescent="0.55000000000000004">
      <c r="A8" s="1" t="s">
        <v>1664</v>
      </c>
      <c r="B8" s="4" t="s">
        <v>1654</v>
      </c>
      <c r="D8" s="5" t="s">
        <v>1654</v>
      </c>
      <c r="F8" s="5" t="s">
        <v>1665</v>
      </c>
      <c r="I8" t="s">
        <v>1665</v>
      </c>
    </row>
    <row r="9" spans="1:9" x14ac:dyDescent="0.55000000000000004">
      <c r="A9" s="1" t="s">
        <v>1666</v>
      </c>
      <c r="B9" s="4" t="s">
        <v>1654</v>
      </c>
      <c r="D9" s="5" t="s">
        <v>1654</v>
      </c>
      <c r="F9" s="5" t="s">
        <v>1665</v>
      </c>
    </row>
    <row r="10" spans="1:9" x14ac:dyDescent="0.55000000000000004">
      <c r="A10" s="1" t="s">
        <v>1667</v>
      </c>
      <c r="B10" s="4" t="s">
        <v>1654</v>
      </c>
      <c r="D10" s="5" t="s">
        <v>1662</v>
      </c>
      <c r="F10" s="5" t="s">
        <v>1665</v>
      </c>
    </row>
    <row r="11" spans="1:9" x14ac:dyDescent="0.55000000000000004">
      <c r="A11" s="1" t="s">
        <v>1668</v>
      </c>
      <c r="B11" s="4" t="s">
        <v>1660</v>
      </c>
      <c r="D11" s="5" t="s">
        <v>1665</v>
      </c>
      <c r="F11" s="5" t="s">
        <v>1665</v>
      </c>
    </row>
    <row r="12" spans="1:9" x14ac:dyDescent="0.55000000000000004">
      <c r="A12" s="1" t="s">
        <v>1669</v>
      </c>
      <c r="B12" s="4" t="s">
        <v>1656</v>
      </c>
      <c r="D12" s="5" t="s">
        <v>1656</v>
      </c>
      <c r="F12" s="5" t="s">
        <v>1665</v>
      </c>
    </row>
    <row r="13" spans="1:9" x14ac:dyDescent="0.55000000000000004">
      <c r="A13" s="1" t="s">
        <v>1670</v>
      </c>
      <c r="B13" s="4" t="s">
        <v>1654</v>
      </c>
      <c r="D13" s="5" t="s">
        <v>1662</v>
      </c>
      <c r="F13" s="5" t="s">
        <v>1665</v>
      </c>
    </row>
    <row r="14" spans="1:9" x14ac:dyDescent="0.55000000000000004">
      <c r="A14" s="1" t="s">
        <v>1671</v>
      </c>
      <c r="B14" s="4" t="s">
        <v>1654</v>
      </c>
      <c r="D14" s="5" t="s">
        <v>1662</v>
      </c>
      <c r="F14" s="5" t="s">
        <v>1665</v>
      </c>
    </row>
    <row r="15" spans="1:9" x14ac:dyDescent="0.55000000000000004">
      <c r="A15" s="1" t="s">
        <v>1672</v>
      </c>
      <c r="B15" s="4" t="s">
        <v>1654</v>
      </c>
      <c r="D15" s="5" t="s">
        <v>1662</v>
      </c>
      <c r="F15" s="5" t="s">
        <v>1665</v>
      </c>
    </row>
  </sheetData>
  <phoneticPr fontId="7" type="noConversion"/>
  <dataValidations count="1">
    <dataValidation type="list" allowBlank="1" showInputMessage="1" showErrorMessage="1" sqref="B2:B10 D12:D15 D8:D10 B12:B1048576" xr:uid="{00000000-0002-0000-0100-000000000000}">
      <formula1>$I$2:$I$23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B18" sqref="B18"/>
    </sheetView>
  </sheetViews>
  <sheetFormatPr defaultRowHeight="14.4" x14ac:dyDescent="0.55000000000000004"/>
  <cols>
    <col min="1" max="1" width="48.68359375" customWidth="1"/>
    <col min="2" max="2" width="45.41796875" style="15" bestFit="1" customWidth="1"/>
    <col min="3" max="3" width="48" style="15" bestFit="1" customWidth="1"/>
  </cols>
  <sheetData>
    <row r="1" spans="1:3" x14ac:dyDescent="0.55000000000000004">
      <c r="B1" s="16" t="s">
        <v>1673</v>
      </c>
      <c r="C1" s="16" t="s">
        <v>1674</v>
      </c>
    </row>
    <row r="2" spans="1:3" x14ac:dyDescent="0.55000000000000004">
      <c r="A2" t="s">
        <v>11</v>
      </c>
    </row>
    <row r="3" spans="1:3" x14ac:dyDescent="0.55000000000000004">
      <c r="A3" t="s">
        <v>12</v>
      </c>
    </row>
    <row r="4" spans="1:3" x14ac:dyDescent="0.55000000000000004">
      <c r="A4" t="s">
        <v>13</v>
      </c>
    </row>
    <row r="5" spans="1:3" x14ac:dyDescent="0.55000000000000004">
      <c r="A5" t="s">
        <v>1675</v>
      </c>
    </row>
    <row r="6" spans="1:3" ht="17.25" customHeight="1" x14ac:dyDescent="0.55000000000000004">
      <c r="A6" t="s">
        <v>1676</v>
      </c>
      <c r="B6" s="15" t="s">
        <v>1677</v>
      </c>
      <c r="C6" s="15" t="s">
        <v>1678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3ADFCAC085C94281515E10C1557D84" ma:contentTypeVersion="16" ma:contentTypeDescription="Een nieuw document maken." ma:contentTypeScope="" ma:versionID="469c653bd18d3f9b4237735bcfbcfb86">
  <xsd:schema xmlns:xsd="http://www.w3.org/2001/XMLSchema" xmlns:xs="http://www.w3.org/2001/XMLSchema" xmlns:p="http://schemas.microsoft.com/office/2006/metadata/properties" xmlns:ns2="bf0ef820-9372-4f53-b2d4-a8141d704780" xmlns:ns3="688cbed4-2609-4668-8b99-6cee4963eac5" targetNamespace="http://schemas.microsoft.com/office/2006/metadata/properties" ma:root="true" ma:fieldsID="ff694e3dd108713c7f5c19acf07eb5e5" ns2:_="" ns3:_="">
    <xsd:import namespace="bf0ef820-9372-4f53-b2d4-a8141d704780"/>
    <xsd:import namespace="688cbed4-2609-4668-8b99-6cee4963eac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0ef820-9372-4f53-b2d4-a8141d70478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70702fa-f579-430c-9659-a51cc9c8c903}" ma:internalName="TaxCatchAll" ma:showField="CatchAllData" ma:web="bf0ef820-9372-4f53-b2d4-a8141d7047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cbed4-2609-4668-8b99-6cee4963ea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Afbeeldingtags" ma:readOnly="false" ma:fieldId="{5cf76f15-5ced-4ddc-b409-7134ff3c332f}" ma:taxonomyMulti="true" ma:sspId="f62a4200-7e86-4b00-932a-81411e1f44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0ef820-9372-4f53-b2d4-a8141d704780" xsi:nil="true"/>
    <lcf76f155ced4ddcb4097134ff3c332f xmlns="688cbed4-2609-4668-8b99-6cee4963eac5">
      <Terms xmlns="http://schemas.microsoft.com/office/infopath/2007/PartnerControls"/>
    </lcf76f155ced4ddcb4097134ff3c332f>
    <SharedWithUsers xmlns="bf0ef820-9372-4f53-b2d4-a8141d704780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2DF0AB4-45DB-4394-A043-3C9A353F86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0ef820-9372-4f53-b2d4-a8141d704780"/>
    <ds:schemaRef ds:uri="688cbed4-2609-4668-8b99-6cee4963ea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BFAF20-2080-4641-9C5E-0BA5C028AC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3A6729-8212-44B8-AEB9-00D1596CB78B}">
  <ds:schemaRefs>
    <ds:schemaRef ds:uri="http://schemas.microsoft.com/office/2006/metadata/properties"/>
    <ds:schemaRef ds:uri="http://schemas.microsoft.com/office/infopath/2007/PartnerControls"/>
    <ds:schemaRef ds:uri="bf0ef820-9372-4f53-b2d4-a8141d704780"/>
    <ds:schemaRef ds:uri="688cbed4-2609-4668-8b99-6cee4963ea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Variabelen irt analyse</vt:lpstr>
      <vt:lpstr>Wat wanneer waar gemeten</vt:lpstr>
      <vt:lpstr>Preprocessing en aggregatie dat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FLORON</dc:creator>
  <cp:keywords/>
  <dc:description/>
  <cp:lastModifiedBy>Laura Moria</cp:lastModifiedBy>
  <cp:revision/>
  <dcterms:created xsi:type="dcterms:W3CDTF">2025-10-30T14:29:30Z</dcterms:created>
  <dcterms:modified xsi:type="dcterms:W3CDTF">2026-09-30T08:16:04Z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0x010100993ADFCAC085C94281515E10C1557D84</vt:lpwstr>
  </property>
  <property fmtid="{D5CDD505-2E9C-101B-9397-08002B2CF9AE}" pid="3" name="MediaServiceImageTags">
    <vt:lpwstr/>
  </property>
  <property fmtid="{D5CDD505-2E9C-101B-9397-08002B2CF9AE}" pid="4" name="Order">
    <vt:r8>900</vt:r8>
  </property>
</Properties>
</file>